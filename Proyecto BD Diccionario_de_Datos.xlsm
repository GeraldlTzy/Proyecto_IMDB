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drawings/drawing107.xml" ContentType="application/vnd.openxmlformats-officedocument.drawing+xml"/>
  <Override PartName="/xl/drawings/drawing108.xml" ContentType="application/vnd.openxmlformats-officedocument.drawing+xml"/>
  <Override PartName="/xl/drawings/drawing109.xml" ContentType="application/vnd.openxmlformats-officedocument.drawing+xml"/>
  <Override PartName="/xl/drawings/drawing110.xml" ContentType="application/vnd.openxmlformats-officedocument.drawing+xml"/>
  <Override PartName="/xl/drawings/drawing111.xml" ContentType="application/vnd.openxmlformats-officedocument.drawing+xml"/>
  <Override PartName="/xl/drawings/drawing112.xml" ContentType="application/vnd.openxmlformats-officedocument.drawing+xml"/>
  <Override PartName="/xl/drawings/drawing113.xml" ContentType="application/vnd.openxmlformats-officedocument.drawing+xml"/>
  <Override PartName="/xl/drawings/drawing114.xml" ContentType="application/vnd.openxmlformats-officedocument.drawing+xml"/>
  <Override PartName="/xl/drawings/drawing1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PC\Documents\GitHub\Proyecto_IMDB\"/>
    </mc:Choice>
  </mc:AlternateContent>
  <xr:revisionPtr revIDLastSave="0" documentId="8_{C98FEE13-7F24-4C46-AD42-F431CE86AC58}" xr6:coauthVersionLast="47" xr6:coauthVersionMax="47" xr10:uidLastSave="{00000000-0000-0000-0000-000000000000}"/>
  <bookViews>
    <workbookView xWindow="14295" yWindow="0" windowWidth="14610" windowHeight="15585" tabRatio="808" xr2:uid="{AB9AFE1E-FC83-4F92-BB60-035EE4D610CA}"/>
  </bookViews>
  <sheets>
    <sheet name="Index" sheetId="1" r:id="rId1"/>
    <sheet name="Person" sheetId="2" r:id="rId2"/>
    <sheet name="TypeOfIdentification" sheetId="29" r:id="rId3"/>
    <sheet name="Sex" sheetId="36" r:id="rId4"/>
    <sheet name="Nationality" sheetId="37" r:id="rId5"/>
    <sheet name="Country" sheetId="41" r:id="rId6"/>
    <sheet name="City" sheetId="42" r:id="rId7"/>
    <sheet name="Relative" sheetId="43" r:id="rId8"/>
    <sheet name="NationalityPerson" sheetId="45" r:id="rId9"/>
    <sheet name="SystemUser" sheetId="46" r:id="rId10"/>
    <sheet name="Identification" sheetId="47" r:id="rId11"/>
    <sheet name="IdentXSystem" sheetId="48" r:id="rId12"/>
    <sheet name="End_user" sheetId="50" r:id="rId13"/>
    <sheet name="Administrator" sheetId="51" r:id="rId14"/>
    <sheet name="Participant" sheetId="52" r:id="rId15"/>
    <sheet name="TypeOfProduct" sheetId="53" r:id="rId16"/>
    <sheet name="Product" sheetId="54" r:id="rId17"/>
    <sheet name="Binnacle" sheetId="55" r:id="rId18"/>
    <sheet name="Season" sheetId="56" r:id="rId19"/>
    <sheet name="Episode" sheetId="57" r:id="rId20"/>
    <sheet name="Photo" sheetId="58" r:id="rId21"/>
    <sheet name="TypeOfParticipant" sheetId="59" r:id="rId22"/>
    <sheet name="ParticipantXProduct" sheetId="60" r:id="rId23"/>
    <sheet name="ParticipantXRelative" sheetId="61" r:id="rId24"/>
    <sheet name="Payment" sheetId="62" r:id="rId25"/>
    <sheet name="Card" sheetId="63" r:id="rId26"/>
    <sheet name="Wishlist" sheetId="64" r:id="rId27"/>
    <sheet name="Purchase" sheetId="65" r:id="rId28"/>
    <sheet name="Catalog" sheetId="66" r:id="rId29"/>
    <sheet name="CatalogxProduct" sheetId="67" r:id="rId30"/>
    <sheet name="Platform" sheetId="68" r:id="rId31"/>
    <sheet name="ProductXPlatform" sheetId="69" r:id="rId32"/>
    <sheet name="Review" sheetId="70" r:id="rId33"/>
    <sheet name="Commentary" sheetId="71" r:id="rId34"/>
    <sheet name="UserXProduct" sheetId="72" r:id="rId35"/>
    <sheet name="insertUser" sheetId="74" r:id="rId36"/>
    <sheet name="updateUser" sheetId="76" r:id="rId37"/>
    <sheet name="deleteUser" sheetId="77" r:id="rId38"/>
    <sheet name="buyProduct" sheetId="81" r:id="rId39"/>
    <sheet name="commentProduct" sheetId="84" r:id="rId40"/>
    <sheet name="updateComment" sheetId="85" r:id="rId41"/>
    <sheet name="reviewProduct" sheetId="86" r:id="rId42"/>
    <sheet name="updateReview" sheetId="87" r:id="rId43"/>
    <sheet name="insertFavorite" sheetId="88" r:id="rId44"/>
    <sheet name="getWishlist" sheetId="89" r:id="rId45"/>
    <sheet name="deleteComment" sheetId="90" r:id="rId46"/>
    <sheet name="deleteReview" sheetId="91" r:id="rId47"/>
    <sheet name="deleteFavorite" sheetId="92" r:id="rId48"/>
    <sheet name="insertCard" sheetId="93" r:id="rId49"/>
    <sheet name="removeCard" sheetId="94" r:id="rId50"/>
    <sheet name="getPaymentMethods" sheetId="95" r:id="rId51"/>
    <sheet name="insertParticipant" sheetId="96" r:id="rId52"/>
    <sheet name="insertRelative" sheetId="97" r:id="rId53"/>
    <sheet name="deleteParticipant" sheetId="98" r:id="rId54"/>
    <sheet name="updateParticipant" sheetId="99" r:id="rId55"/>
    <sheet name="getParticipantInfo" sheetId="100" r:id="rId56"/>
    <sheet name="getParticipantNat" sheetId="101" r:id="rId57"/>
    <sheet name="getInfoParticipants" sheetId="103" r:id="rId58"/>
    <sheet name="getParticipantRelatives" sheetId="105" r:id="rId59"/>
    <sheet name="insertSystemUser" sheetId="107" r:id="rId60"/>
    <sheet name="insertPerson" sheetId="106" r:id="rId61"/>
    <sheet name="insertSex" sheetId="108" r:id="rId62"/>
    <sheet name="insertNationality" sheetId="109" r:id="rId63"/>
    <sheet name="insertNationalityPerson" sheetId="110" r:id="rId64"/>
    <sheet name="insertTypeIdent" sheetId="111" r:id="rId65"/>
    <sheet name="insertCountry" sheetId="112" r:id="rId66"/>
    <sheet name="insertCity" sheetId="113" r:id="rId67"/>
    <sheet name="insertTypeParticipant" sheetId="114" r:id="rId68"/>
    <sheet name="insertCatalog" sheetId="115" r:id="rId69"/>
    <sheet name="insertTypeProduct" sheetId="116" r:id="rId70"/>
    <sheet name="insertPlatform" sheetId="117" r:id="rId71"/>
    <sheet name="getSystemUserInfo" sheetId="118" r:id="rId72"/>
    <sheet name="validateRegister" sheetId="119" r:id="rId73"/>
    <sheet name="getNationality" sheetId="120" r:id="rId74"/>
    <sheet name="insertBinnacle" sheetId="122" r:id="rId75"/>
    <sheet name="getInfoInsertParticipant" sheetId="123" r:id="rId76"/>
    <sheet name="getCountries" sheetId="124" r:id="rId77"/>
    <sheet name="getCities" sheetId="125" r:id="rId78"/>
    <sheet name="getTypesIdents" sheetId="126" r:id="rId79"/>
    <sheet name="getCatalogs" sheetId="127" r:id="rId80"/>
    <sheet name="getTypesProducts" sheetId="128" r:id="rId81"/>
    <sheet name="getTypesParticipants" sheetId="129" r:id="rId82"/>
    <sheet name="getPlatforms" sheetId="131" r:id="rId83"/>
    <sheet name="getSex" sheetId="130" r:id="rId84"/>
    <sheet name="setNationality" sheetId="132" r:id="rId85"/>
    <sheet name="setCountry" sheetId="134" r:id="rId86"/>
    <sheet name="setCIty" sheetId="136" r:id="rId87"/>
    <sheet name="setTypeIdent" sheetId="138" r:id="rId88"/>
    <sheet name="setTypeProduct" sheetId="137" r:id="rId89"/>
    <sheet name="setTypeParticipant" sheetId="139" r:id="rId90"/>
    <sheet name="setPlatform" sheetId="135" r:id="rId91"/>
    <sheet name="setSex" sheetId="142" r:id="rId92"/>
    <sheet name="insertAdministrator" sheetId="140" r:id="rId93"/>
    <sheet name="setCatalog" sheetId="144" r:id="rId94"/>
    <sheet name="insertProduct" sheetId="141" r:id="rId95"/>
    <sheet name="updateProduct" sheetId="143" r:id="rId96"/>
    <sheet name="addParticipant" sheetId="145" r:id="rId97"/>
    <sheet name="removeSeason" sheetId="148" r:id="rId98"/>
    <sheet name="addSeason" sheetId="147" r:id="rId99"/>
    <sheet name="addEpisode" sheetId="149" r:id="rId100"/>
    <sheet name="removeEpisode" sheetId="150" r:id="rId101"/>
    <sheet name="addPhoto" sheetId="151" r:id="rId102"/>
    <sheet name="removePhoto" sheetId="152" r:id="rId103"/>
    <sheet name="getProducts" sheetId="153" r:id="rId104"/>
    <sheet name="getProductInfo" sheetId="154" r:id="rId105"/>
    <sheet name="addGenre" sheetId="155" r:id="rId106"/>
    <sheet name="addPlatform" sheetId="156" r:id="rId107"/>
    <sheet name="getProductStatistics" sheetId="157" r:id="rId108"/>
    <sheet name="getUsersStatisticsByAge" sheetId="158" r:id="rId109"/>
    <sheet name="getUsersStatisticsBySex" sheetId="159" r:id="rId110"/>
    <sheet name="visitProduct" sheetId="160" r:id="rId111"/>
    <sheet name="getRecentlyVisited" sheetId="161" r:id="rId112"/>
    <sheet name="insertKinship" sheetId="162" r:id="rId113"/>
    <sheet name="setKinship" sheetId="163" r:id="rId114"/>
    <sheet name="&lt;End of Dictionary&gt;" sheetId="73" r:id="rId115"/>
  </sheets>
  <externalReferences>
    <externalReference r:id="rId116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63" l="1"/>
  <c r="D5" i="163"/>
  <c r="D7" i="162"/>
  <c r="D5" i="162"/>
  <c r="D6" i="161"/>
  <c r="D4" i="161"/>
  <c r="D6" i="160"/>
  <c r="D4" i="160"/>
  <c r="D7" i="159"/>
  <c r="D5" i="159"/>
  <c r="D6" i="158"/>
  <c r="D4" i="158"/>
  <c r="D8" i="157"/>
  <c r="D6" i="157"/>
  <c r="D7" i="156"/>
  <c r="D5" i="156"/>
  <c r="C6" i="155"/>
  <c r="C4" i="155"/>
  <c r="C6" i="154"/>
  <c r="C4" i="154"/>
  <c r="C6" i="153"/>
  <c r="C4" i="153"/>
  <c r="D9" i="152"/>
  <c r="D7" i="152"/>
  <c r="D9" i="151"/>
  <c r="D7" i="151"/>
  <c r="F13" i="150"/>
  <c r="F11" i="150"/>
  <c r="E11" i="149"/>
  <c r="E9" i="149"/>
  <c r="D9" i="148"/>
  <c r="D7" i="148"/>
  <c r="D11" i="147"/>
  <c r="D9" i="147"/>
  <c r="E5" i="144"/>
  <c r="E7" i="144"/>
  <c r="E5" i="143"/>
  <c r="E7" i="143"/>
  <c r="C8" i="145"/>
  <c r="C6" i="145"/>
  <c r="B5" i="140"/>
  <c r="B3" i="140"/>
  <c r="E7" i="128"/>
  <c r="E7" i="142"/>
  <c r="E5" i="142"/>
  <c r="E7" i="141"/>
  <c r="E5" i="141"/>
  <c r="E7" i="139"/>
  <c r="E5" i="139"/>
  <c r="E7" i="138"/>
  <c r="E5" i="138"/>
  <c r="E7" i="137"/>
  <c r="E5" i="137"/>
  <c r="E7" i="136"/>
  <c r="E5" i="136"/>
  <c r="E7" i="135"/>
  <c r="E5" i="135"/>
  <c r="E7" i="134"/>
  <c r="E5" i="134"/>
  <c r="E7" i="132"/>
  <c r="E5" i="132"/>
  <c r="E7" i="131"/>
  <c r="E5" i="131"/>
  <c r="E7" i="130"/>
  <c r="E5" i="130"/>
  <c r="E7" i="129"/>
  <c r="E5" i="129"/>
  <c r="E5" i="128"/>
  <c r="E7" i="127"/>
  <c r="E5" i="127"/>
  <c r="E7" i="116"/>
  <c r="E7" i="126"/>
  <c r="E5" i="126"/>
  <c r="E7" i="125"/>
  <c r="E5" i="125"/>
  <c r="E7" i="124"/>
  <c r="E5" i="124"/>
  <c r="E7" i="123"/>
  <c r="E5" i="123"/>
  <c r="E7" i="122"/>
  <c r="E5" i="122"/>
  <c r="E7" i="120"/>
  <c r="E5" i="120"/>
  <c r="E7" i="119"/>
  <c r="E5" i="119"/>
  <c r="E7" i="118"/>
  <c r="E5" i="118"/>
  <c r="E7" i="117"/>
  <c r="E5" i="117"/>
  <c r="E5" i="116"/>
  <c r="E7" i="115"/>
  <c r="E5" i="115"/>
  <c r="E7" i="114"/>
  <c r="E5" i="114"/>
  <c r="E7" i="113"/>
  <c r="E5" i="113"/>
  <c r="E7" i="112"/>
  <c r="E5" i="112"/>
  <c r="E7" i="111"/>
  <c r="E5" i="111"/>
  <c r="E7" i="110"/>
  <c r="E5" i="110"/>
  <c r="E7" i="109"/>
  <c r="E5" i="109"/>
  <c r="D7" i="108"/>
  <c r="D5" i="108"/>
  <c r="E7" i="107"/>
  <c r="E5" i="107"/>
  <c r="E8" i="106"/>
  <c r="E6" i="106"/>
  <c r="B3" i="74"/>
  <c r="B5" i="74"/>
  <c r="B5" i="105"/>
  <c r="B3" i="105"/>
  <c r="B5" i="103"/>
  <c r="B3" i="103"/>
  <c r="B5" i="101"/>
  <c r="B3" i="101"/>
  <c r="B5" i="100"/>
  <c r="B3" i="100"/>
  <c r="B5" i="99"/>
  <c r="B3" i="99"/>
  <c r="B5" i="98"/>
  <c r="B3" i="98"/>
  <c r="B5" i="97"/>
  <c r="B3" i="97"/>
  <c r="B5" i="96"/>
  <c r="B3" i="96"/>
  <c r="B5" i="95"/>
  <c r="B3" i="95"/>
  <c r="B5" i="94"/>
  <c r="B3" i="94"/>
  <c r="B5" i="93"/>
  <c r="B3" i="93"/>
  <c r="B5" i="92"/>
  <c r="B3" i="92"/>
  <c r="B5" i="91"/>
  <c r="B3" i="91"/>
  <c r="B5" i="90"/>
  <c r="B3" i="90"/>
  <c r="B5" i="89"/>
  <c r="B3" i="89"/>
  <c r="B5" i="88"/>
  <c r="B3" i="88"/>
  <c r="B5" i="87"/>
  <c r="B3" i="87"/>
  <c r="B5" i="86"/>
  <c r="B3" i="86"/>
  <c r="B5" i="85"/>
  <c r="B3" i="85"/>
  <c r="B5" i="84"/>
  <c r="B3" i="84"/>
  <c r="B5" i="81"/>
  <c r="B3" i="81"/>
  <c r="B5" i="77"/>
  <c r="B3" i="77"/>
  <c r="B5" i="76"/>
  <c r="B3" i="76"/>
  <c r="B3" i="72"/>
  <c r="B3" i="71"/>
  <c r="B3" i="70"/>
  <c r="B3" i="69"/>
  <c r="H6" i="68"/>
  <c r="H5" i="68"/>
  <c r="B3" i="68"/>
  <c r="B3" i="67"/>
  <c r="H5" i="66"/>
  <c r="B3" i="66"/>
  <c r="B3" i="65"/>
  <c r="B3" i="64"/>
  <c r="H5" i="63"/>
  <c r="B3" i="63"/>
  <c r="H5" i="62"/>
  <c r="B3" i="62"/>
  <c r="B3" i="61"/>
  <c r="B3" i="60"/>
  <c r="H6" i="59"/>
  <c r="B3" i="59"/>
  <c r="H5" i="58"/>
  <c r="B3" i="58"/>
  <c r="H5" i="57"/>
  <c r="B3" i="57"/>
  <c r="H5" i="56"/>
  <c r="B3" i="56"/>
  <c r="H5" i="55"/>
  <c r="B3" i="55"/>
  <c r="B3" i="54"/>
  <c r="B3" i="53"/>
  <c r="B3" i="52"/>
  <c r="B3" i="51"/>
  <c r="B3" i="50"/>
  <c r="B3" i="48"/>
  <c r="H5" i="47"/>
  <c r="B3" i="47"/>
  <c r="B3" i="46"/>
  <c r="B3" i="45"/>
  <c r="H6" i="43"/>
  <c r="H5" i="43"/>
  <c r="B3" i="43"/>
  <c r="H7" i="42"/>
  <c r="H5" i="42"/>
  <c r="B3" i="42"/>
  <c r="H6" i="41"/>
  <c r="H5" i="41"/>
  <c r="B3" i="41"/>
  <c r="H6" i="37"/>
  <c r="H5" i="37"/>
  <c r="B3" i="37"/>
  <c r="H6" i="36"/>
  <c r="H5" i="36"/>
  <c r="B3" i="36"/>
</calcChain>
</file>

<file path=xl/sharedStrings.xml><?xml version="1.0" encoding="utf-8"?>
<sst xmlns="http://schemas.openxmlformats.org/spreadsheetml/2006/main" count="2186" uniqueCount="624">
  <si>
    <t xml:space="preserve">Data Dictionary </t>
  </si>
  <si>
    <t>Description</t>
  </si>
  <si>
    <t>Type</t>
  </si>
  <si>
    <t>Person</t>
  </si>
  <si>
    <t xml:space="preserve">It is a table that stores all the real persons that are registered to the system. </t>
  </si>
  <si>
    <t>Table</t>
  </si>
  <si>
    <t>TypeOfIdentification</t>
  </si>
  <si>
    <t>It is a catalogue that stores all the types of identification a person can have in the database</t>
  </si>
  <si>
    <t>Sex</t>
  </si>
  <si>
    <t>It is a catalogue that stores all the sexes a person can have in the database</t>
  </si>
  <si>
    <t>Nationality</t>
  </si>
  <si>
    <t>It is a catalogue that stores all the nationalities a person can have in the database</t>
  </si>
  <si>
    <t>Country</t>
  </si>
  <si>
    <t>It is a catalogue that stores all the countries in the database</t>
  </si>
  <si>
    <t>City</t>
  </si>
  <si>
    <t>It is a catalogue that stores all the cities in the database</t>
  </si>
  <si>
    <t>Relative</t>
  </si>
  <si>
    <t>It is a catalogue that stores family relationships a person can have in the database</t>
  </si>
  <si>
    <t>NationalityPerson</t>
  </si>
  <si>
    <t>It is a table that stores a many to many relationship between people and nationalities in the database</t>
  </si>
  <si>
    <t>SystemUser</t>
  </si>
  <si>
    <t xml:space="preserve">It is a table that stores all information a person additionally has when registered to the system as a user. </t>
  </si>
  <si>
    <t>Identification</t>
  </si>
  <si>
    <t>It is a catalogue that stores all the identifications users can have in the database</t>
  </si>
  <si>
    <t>IdentXSystem</t>
  </si>
  <si>
    <t>It is a table that stores a many to many relationship between a system user and identifications in the database</t>
  </si>
  <si>
    <t>End_user</t>
  </si>
  <si>
    <t xml:space="preserve">It is a table that stores the id of a system user registered to the system. </t>
  </si>
  <si>
    <t>Administrator</t>
  </si>
  <si>
    <t xml:space="preserve">It is a table that stores the id of a system user registered to the system with administrator privileges. </t>
  </si>
  <si>
    <t>Participant</t>
  </si>
  <si>
    <t xml:space="preserve">It is a table that stores all information a person additionally has when registered to the system as a participant of media. </t>
  </si>
  <si>
    <t>TypeOfProduct</t>
  </si>
  <si>
    <t>It is a catalogue that stores all the types a product can have in the database</t>
  </si>
  <si>
    <t>Product</t>
  </si>
  <si>
    <t xml:space="preserve">It is a table that stores all the products that are registered to the system. </t>
  </si>
  <si>
    <t>Binnacle</t>
  </si>
  <si>
    <t>It is a catalogue that stores all the old prices a product had in the database</t>
  </si>
  <si>
    <t>Season</t>
  </si>
  <si>
    <t xml:space="preserve">It is a table that stores all the seasons the products can have in the system. </t>
  </si>
  <si>
    <t>Episode</t>
  </si>
  <si>
    <t xml:space="preserve">It is a table that stores all the episodes the seasons can have in the system. </t>
  </si>
  <si>
    <t>Photo</t>
  </si>
  <si>
    <t xml:space="preserve">It is a table that stores all the photos from the products in the system. </t>
  </si>
  <si>
    <t>TypeOfParticipant</t>
  </si>
  <si>
    <t>It is a catalogue that stores all the types of participation a participant can have in the database</t>
  </si>
  <si>
    <t>ParticipantXProduct</t>
  </si>
  <si>
    <t>It is a table that stores the many to many relationship between participants and products in the database</t>
  </si>
  <si>
    <t>ParticipantXRelative</t>
  </si>
  <si>
    <t>It is a table that stores the many to many relationship between participants and their relationship in the database</t>
  </si>
  <si>
    <t>Payment</t>
  </si>
  <si>
    <t>It is a catalogue that stores all the payments a user has in the database</t>
  </si>
  <si>
    <t>Card</t>
  </si>
  <si>
    <t>It is a catalogue that stores all the cards a user has in the database</t>
  </si>
  <si>
    <t>Wishlist</t>
  </si>
  <si>
    <t>It is an association of a wishlist between the users and products in the database</t>
  </si>
  <si>
    <t>Purchase</t>
  </si>
  <si>
    <t>It stores all the purchases in the database, that happen between the users, products and payments</t>
  </si>
  <si>
    <t>Catalog</t>
  </si>
  <si>
    <t>It is a catalogue that stores all the catalogs (genres) for products in the database</t>
  </si>
  <si>
    <t>CatalogxProduct</t>
  </si>
  <si>
    <t>It is a table that stores the many to many relationship between catalogs and products in the database</t>
  </si>
  <si>
    <t>Platform</t>
  </si>
  <si>
    <t>It is a catalogue that stores all the platforms in the database</t>
  </si>
  <si>
    <t>ProductXPlatform</t>
  </si>
  <si>
    <t>It is a table that stores the many to many relationship between products and platforms in the database</t>
  </si>
  <si>
    <t>Review</t>
  </si>
  <si>
    <t xml:space="preserve">It is a table that stores all the reviews that are registered from users to products in the system. </t>
  </si>
  <si>
    <t>Commentary</t>
  </si>
  <si>
    <t xml:space="preserve">It is a table that stores all the comments that are registered from users to products in the system. </t>
  </si>
  <si>
    <t>UserXProduct</t>
  </si>
  <si>
    <t>It is a table that stores the many to many relationship of views that happens between users and products in the database</t>
  </si>
  <si>
    <t>insertUser</t>
  </si>
  <si>
    <t>It is a stored procedure that creates a system user and the person associated when they register to the system</t>
  </si>
  <si>
    <t>Stored Procedure</t>
  </si>
  <si>
    <t>updateUser</t>
  </si>
  <si>
    <t>It is a stored procedure that updates a system user with new information</t>
  </si>
  <si>
    <t>deleteUser</t>
  </si>
  <si>
    <t>It is a stored procedure that deletes a user and its interactions on the database</t>
  </si>
  <si>
    <t>buyProduct</t>
  </si>
  <si>
    <t>It is a stored procedure that registers a purchase of a product by a user in the database</t>
  </si>
  <si>
    <t>commentProduct</t>
  </si>
  <si>
    <t>It is a stored procedure that registers a comment made by a user on a product</t>
  </si>
  <si>
    <t>updateComment</t>
  </si>
  <si>
    <t>It is a stored procedure that updates a comment made by a user on a product</t>
  </si>
  <si>
    <t>reviewProduct</t>
  </si>
  <si>
    <t>It is a stored procedure that registers a review made by a user on a product</t>
  </si>
  <si>
    <t>updateReview</t>
  </si>
  <si>
    <t>It is a stored procedure that updates a review made by a user on a product</t>
  </si>
  <si>
    <t>insertFavorite</t>
  </si>
  <si>
    <t>It is a stored procedure that inserts a favourite association of a product for a user</t>
  </si>
  <si>
    <t>getWishlist</t>
  </si>
  <si>
    <t>It is a stored procedure that retrieves the wishlist of a user in the database</t>
  </si>
  <si>
    <t>deleteComment</t>
  </si>
  <si>
    <t>It is a stored procedure that deletes a comment made by a user</t>
  </si>
  <si>
    <t>deleteReview</t>
  </si>
  <si>
    <t>It is a stored procedure that deletes a review made by a user</t>
  </si>
  <si>
    <t>deleteFavorite</t>
  </si>
  <si>
    <t>It is a stored procedure that deletes a favourite association of a product for a user</t>
  </si>
  <si>
    <t>insertCard</t>
  </si>
  <si>
    <t>It is a stored procedure that inserts a card in the system and registers it as a payment method for a user</t>
  </si>
  <si>
    <t>removeCard</t>
  </si>
  <si>
    <t>It is a stored procedure that removes a card and its associated payment method for the user</t>
  </si>
  <si>
    <t>getPaymentMethods</t>
  </si>
  <si>
    <t>It is a stored procedure that retrieves all the payment methods of a user</t>
  </si>
  <si>
    <t>insertParticipant</t>
  </si>
  <si>
    <t>It is a stored procedure that creates a participant and the person associated when they register to the system</t>
  </si>
  <si>
    <t>insertRelative</t>
  </si>
  <si>
    <t>It is a stored procedure that inserts a relative of a participant and their relationship in the database</t>
  </si>
  <si>
    <t>deleteParticipant</t>
  </si>
  <si>
    <t>It is a stored procedure that deletes a participant and its interactions on the database</t>
  </si>
  <si>
    <t>updateParticipant</t>
  </si>
  <si>
    <t>It is a stored procedure that updates all the information of a participant and the person associated in the system</t>
  </si>
  <si>
    <t>getParticipantInfo</t>
  </si>
  <si>
    <t>It is a stored procedure that retireves the information of a participant in the database</t>
  </si>
  <si>
    <t>getParticipantNat</t>
  </si>
  <si>
    <t>It is a stored procedure that retrieves all the nationalities of a participant in the database</t>
  </si>
  <si>
    <t>getInfoParticipants</t>
  </si>
  <si>
    <t>It is a stored procedure that retireves the information of all participanst in the database</t>
  </si>
  <si>
    <t>getParticipantRelatives</t>
  </si>
  <si>
    <t>It is a stored procedure that retrieves all the relatives of a participant in the database</t>
  </si>
  <si>
    <t>insertPerson</t>
  </si>
  <si>
    <t>It is a stored procedure that inserts a person with his basic information and return the id</t>
  </si>
  <si>
    <t>insertSystemUser</t>
  </si>
  <si>
    <t>It is a stored procedure that inserts a system user, it is an superclass of administrator or end user</t>
  </si>
  <si>
    <t>insertSex</t>
  </si>
  <si>
    <t>Inserts a sex for the person</t>
  </si>
  <si>
    <t>insertNationality</t>
  </si>
  <si>
    <t>Inserts a new nationality</t>
  </si>
  <si>
    <t>insertNationalityPerson</t>
  </si>
  <si>
    <t>Add a new nationality for the respective person</t>
  </si>
  <si>
    <t>insertTypeIdent</t>
  </si>
  <si>
    <t>Inserts a new type of identification</t>
  </si>
  <si>
    <t>insertCountry</t>
  </si>
  <si>
    <t>Inserts a new country</t>
  </si>
  <si>
    <t>insertCity</t>
  </si>
  <si>
    <t>Inserts a new city, this procedure receives the country of the city being added</t>
  </si>
  <si>
    <t>insertTypeParticipant</t>
  </si>
  <si>
    <t>Inserts a new type of participant like actor or director</t>
  </si>
  <si>
    <t>insertCatalog</t>
  </si>
  <si>
    <t>Inserts a new type of genre for the products</t>
  </si>
  <si>
    <t>insertTypeProduct</t>
  </si>
  <si>
    <t>Insert a new type of product such as movie, series or any other</t>
  </si>
  <si>
    <t>insertPlatform</t>
  </si>
  <si>
    <t>Inserts a platform for view the products</t>
  </si>
  <si>
    <t>getSystemUserInfo</t>
  </si>
  <si>
    <t>Returns the information about the user and an identifier to know if is an administrador or normal user</t>
  </si>
  <si>
    <t>validateRegister</t>
  </si>
  <si>
    <t>Validates if the username or e-mail is being used</t>
  </si>
  <si>
    <t>getNationality</t>
  </si>
  <si>
    <t>Returns the nationalities</t>
  </si>
  <si>
    <t>insertBinnacle</t>
  </si>
  <si>
    <t>Inserts all changes of a product's price</t>
  </si>
  <si>
    <t>getInfoInsertParticipant</t>
  </si>
  <si>
    <t>Returns all information needed to insert a participant</t>
  </si>
  <si>
    <t>getCountries</t>
  </si>
  <si>
    <t>Returns all countries</t>
  </si>
  <si>
    <t>getCities</t>
  </si>
  <si>
    <t>Returns all cities with their countries</t>
  </si>
  <si>
    <t>getTypesIdents</t>
  </si>
  <si>
    <t>Returns all types of identifications</t>
  </si>
  <si>
    <t>getCatalogs</t>
  </si>
  <si>
    <t>Returns all catalogs</t>
  </si>
  <si>
    <t>getTypesProducts</t>
  </si>
  <si>
    <t>Returns all types of products</t>
  </si>
  <si>
    <t>getTypesParticipant</t>
  </si>
  <si>
    <t>Returns all types of participants</t>
  </si>
  <si>
    <t>getPlatforms</t>
  </si>
  <si>
    <t>Returns all platforms</t>
  </si>
  <si>
    <t>getSexs</t>
  </si>
  <si>
    <t>Returns all sexs</t>
  </si>
  <si>
    <t xml:space="preserve">setNationality </t>
  </si>
  <si>
    <t>Changes the name of a nationality</t>
  </si>
  <si>
    <t xml:space="preserve">setCountry </t>
  </si>
  <si>
    <t>Changes the name of a country</t>
  </si>
  <si>
    <t xml:space="preserve">setCity </t>
  </si>
  <si>
    <t>Changes the name of a city and the country it belongs to</t>
  </si>
  <si>
    <t xml:space="preserve">setTypeIdent </t>
  </si>
  <si>
    <t>Changes the name of an identification type</t>
  </si>
  <si>
    <t xml:space="preserve">setCatalog </t>
  </si>
  <si>
    <t>Changes the name of a catalog</t>
  </si>
  <si>
    <t xml:space="preserve">setTypeProduct </t>
  </si>
  <si>
    <t>Changes the name of a product type</t>
  </si>
  <si>
    <t xml:space="preserve">setTypeParticipant </t>
  </si>
  <si>
    <t>Changes the name of a participant type</t>
  </si>
  <si>
    <t xml:space="preserve">setPlatform </t>
  </si>
  <si>
    <t>Changes the name of a platform</t>
  </si>
  <si>
    <t xml:space="preserve">setSex </t>
  </si>
  <si>
    <t>Changes the name of a sex</t>
  </si>
  <si>
    <t>insertAdministrator</t>
  </si>
  <si>
    <t xml:space="preserve">Stored Procedure that receives the information of the person and system user, and inserts the information given by the administrator. </t>
  </si>
  <si>
    <t>insertProduct</t>
  </si>
  <si>
    <t>Inserts a product</t>
  </si>
  <si>
    <t>updateProduct</t>
  </si>
  <si>
    <t>Updates all product information</t>
  </si>
  <si>
    <t>*current</t>
  </si>
  <si>
    <t>addParticipant</t>
  </si>
  <si>
    <t>Adds a participant with its role to the products</t>
  </si>
  <si>
    <t>Deletes a participant from a product</t>
  </si>
  <si>
    <t>addSeason</t>
  </si>
  <si>
    <t>Adds a season to the product</t>
  </si>
  <si>
    <t>removeSeason</t>
  </si>
  <si>
    <t>Deletes a season from a product</t>
  </si>
  <si>
    <t>addEpisode</t>
  </si>
  <si>
    <t>Adds a episode to the product</t>
  </si>
  <si>
    <t>removeEpisode</t>
  </si>
  <si>
    <t>Deletes a episode from a product</t>
  </si>
  <si>
    <t>addPhoto</t>
  </si>
  <si>
    <t>Adds a photo to the product</t>
  </si>
  <si>
    <t xml:space="preserve">removePhoto </t>
  </si>
  <si>
    <t>Deletes a photo from a product</t>
  </si>
  <si>
    <t>getProducts</t>
  </si>
  <si>
    <t>Returns the title, id, price and image of all products</t>
  </si>
  <si>
    <t>getProductInfo</t>
  </si>
  <si>
    <t>Returns all information about a product</t>
  </si>
  <si>
    <t xml:space="preserve">addGenre </t>
  </si>
  <si>
    <t>Adds a genre to the product</t>
  </si>
  <si>
    <t>addPlatform</t>
  </si>
  <si>
    <t>Adds a platform to the product</t>
  </si>
  <si>
    <t>getProductStatistics</t>
  </si>
  <si>
    <t>Returns the quantity and percentage of products by genre</t>
  </si>
  <si>
    <t>getUsersStatisticsByAge</t>
  </si>
  <si>
    <t>Returns the number of users who are of a certain age and the equivalent percentage</t>
  </si>
  <si>
    <t>getUsersStatisticsBySex</t>
  </si>
  <si>
    <t>Returns the number of users who are of a certain sex and the equivalent percentage</t>
  </si>
  <si>
    <t>visitProduct</t>
  </si>
  <si>
    <t>Inserts a product in the visited table next to the user who visited it.</t>
  </si>
  <si>
    <t>getRecentlyVisited</t>
  </si>
  <si>
    <t>Returns products recently visited by a user</t>
  </si>
  <si>
    <t>insertKindship</t>
  </si>
  <si>
    <t>Inserts a kinship</t>
  </si>
  <si>
    <t>setKindship</t>
  </si>
  <si>
    <t>Changes the name of a kindship</t>
  </si>
  <si>
    <t>name</t>
  </si>
  <si>
    <t>Comments</t>
  </si>
  <si>
    <t>inserts a product</t>
  </si>
  <si>
    <t>Parameters</t>
  </si>
  <si>
    <t>pIdProduct</t>
  </si>
  <si>
    <t>Number</t>
  </si>
  <si>
    <t>Id that refers to the product</t>
  </si>
  <si>
    <t>pIdParticipant</t>
  </si>
  <si>
    <t>Id that refers to the participant</t>
  </si>
  <si>
    <t>pRol</t>
  </si>
  <si>
    <t>Id that refers to the rol of the participant in the product</t>
  </si>
  <si>
    <t xml:space="preserve">pIdType </t>
  </si>
  <si>
    <t>id of the type of product you want to add, whether it is a movie, series, documentary or any other.</t>
  </si>
  <si>
    <t xml:space="preserve">pReleaseYear </t>
  </si>
  <si>
    <t>Release year of the product</t>
  </si>
  <si>
    <t>pTitle</t>
  </si>
  <si>
    <t>Varchar</t>
  </si>
  <si>
    <t>product title</t>
  </si>
  <si>
    <t xml:space="preserve">pDuration </t>
  </si>
  <si>
    <t>Duration of the product</t>
  </si>
  <si>
    <t>pSynopsis</t>
  </si>
  <si>
    <t>Synopsis of the product</t>
  </si>
  <si>
    <t>pTrailer</t>
  </si>
  <si>
    <t>Trailer of the product, must be a link</t>
  </si>
  <si>
    <t>pPrice</t>
  </si>
  <si>
    <t>Price of the product</t>
  </si>
  <si>
    <t>inserts a product with all its basic information</t>
  </si>
  <si>
    <t>Id of the product just inserted</t>
  </si>
  <si>
    <t>setCatalog</t>
  </si>
  <si>
    <t>pId</t>
  </si>
  <si>
    <t>Id that refers to the catalog</t>
  </si>
  <si>
    <t>pName</t>
  </si>
  <si>
    <t>New catalog name</t>
  </si>
  <si>
    <t>pSex</t>
  </si>
  <si>
    <t>Id of the sex of the person</t>
  </si>
  <si>
    <t>pFirstName</t>
  </si>
  <si>
    <t>First name of the person</t>
  </si>
  <si>
    <t>pSecondName</t>
  </si>
  <si>
    <t>Second name of the person</t>
  </si>
  <si>
    <t>pFirstSurname</t>
  </si>
  <si>
    <t>First surname of the person</t>
  </si>
  <si>
    <t>pSecondSurname</t>
  </si>
  <si>
    <t>Second surname of the person</t>
  </si>
  <si>
    <t>pDatebirth</t>
  </si>
  <si>
    <t>Date</t>
  </si>
  <si>
    <t>Date of bith of the person</t>
  </si>
  <si>
    <t>pPhoto</t>
  </si>
  <si>
    <t>Longblob</t>
  </si>
  <si>
    <t>Photo of the person</t>
  </si>
  <si>
    <t>pUsername</t>
  </si>
  <si>
    <t>Username of the system user</t>
  </si>
  <si>
    <t>pIdentification</t>
  </si>
  <si>
    <t>Identification of the system user</t>
  </si>
  <si>
    <t>pPhoneNumber</t>
  </si>
  <si>
    <t>Phone number of the system user</t>
  </si>
  <si>
    <t>pEmail</t>
  </si>
  <si>
    <t>Email of the system user</t>
  </si>
  <si>
    <t>pPswd</t>
  </si>
  <si>
    <t>Password of the system user</t>
  </si>
  <si>
    <t>pIdTypeIdent</t>
  </si>
  <si>
    <t>Type of identification id of the system user</t>
  </si>
  <si>
    <t>pidOut</t>
  </si>
  <si>
    <t>Id of the person (and administrator) created</t>
  </si>
  <si>
    <t>setSex</t>
  </si>
  <si>
    <t>Id that refers to the sex</t>
  </si>
  <si>
    <t>New name of the sex</t>
  </si>
  <si>
    <t>setPlatform</t>
  </si>
  <si>
    <t>Id that refers to the platform</t>
  </si>
  <si>
    <t>New name of the platform</t>
  </si>
  <si>
    <t>setTypeParticipant</t>
  </si>
  <si>
    <t>Id that refers to the participant type</t>
  </si>
  <si>
    <t>New name of the participant type</t>
  </si>
  <si>
    <t>setTypeProduct</t>
  </si>
  <si>
    <t>Id that refers to the product type</t>
  </si>
  <si>
    <t>New name of the product type</t>
  </si>
  <si>
    <t>setTypeIdent</t>
  </si>
  <si>
    <t>Id that refers to the identification type</t>
  </si>
  <si>
    <t>New name of the identification type</t>
  </si>
  <si>
    <t>setCity</t>
  </si>
  <si>
    <t>Changes the name of a city</t>
  </si>
  <si>
    <t>Id that refers to the city</t>
  </si>
  <si>
    <t>pIdCountry</t>
  </si>
  <si>
    <t>Country to which the city belongs</t>
  </si>
  <si>
    <t>New name of the city</t>
  </si>
  <si>
    <t>setCountry</t>
  </si>
  <si>
    <t>Id that refers to the country</t>
  </si>
  <si>
    <t>New name of the country</t>
  </si>
  <si>
    <t>setNationality</t>
  </si>
  <si>
    <t>Id that refers to the nationality</t>
  </si>
  <si>
    <t>New name of the nationality</t>
  </si>
  <si>
    <t>getTypesParticipants</t>
  </si>
  <si>
    <t>pOldPrice</t>
  </si>
  <si>
    <t>Old product's price</t>
  </si>
  <si>
    <t>pNewPrice</t>
  </si>
  <si>
    <t>New product's price</t>
  </si>
  <si>
    <t>pDateBinacle</t>
  </si>
  <si>
    <t>Date of price change</t>
  </si>
  <si>
    <t>It is the name of the user in the application</t>
  </si>
  <si>
    <t>E-mail of the user account</t>
  </si>
  <si>
    <t>It is the password of the user account</t>
  </si>
  <si>
    <t>Name of the platform</t>
  </si>
  <si>
    <t>Name of the type of product</t>
  </si>
  <si>
    <t>pGenre</t>
  </si>
  <si>
    <t>Name of the genre or category for products</t>
  </si>
  <si>
    <t>pNameType</t>
  </si>
  <si>
    <t>Name of the type of participant</t>
  </si>
  <si>
    <t>Name of the city</t>
  </si>
  <si>
    <t>Name of the country</t>
  </si>
  <si>
    <t>Name of the type of identification</t>
  </si>
  <si>
    <t>pIdNationality</t>
  </si>
  <si>
    <t>pIdPerson</t>
  </si>
  <si>
    <t>Id that refers to the person</t>
  </si>
  <si>
    <t>Name of the nationality</t>
  </si>
  <si>
    <t>Name of the sex</t>
  </si>
  <si>
    <t>Date of birth of the person</t>
  </si>
  <si>
    <t>If of the person created</t>
  </si>
  <si>
    <t>insertSystemUSer</t>
  </si>
  <si>
    <t>pIdperson</t>
  </si>
  <si>
    <t>pIdOut</t>
  </si>
  <si>
    <t>TABLE PERSON</t>
  </si>
  <si>
    <t>Column Name</t>
  </si>
  <si>
    <t>Data Type</t>
  </si>
  <si>
    <t xml:space="preserve">Primary Key </t>
  </si>
  <si>
    <t>Not Null</t>
  </si>
  <si>
    <t xml:space="preserve">Unique </t>
  </si>
  <si>
    <t>Default</t>
  </si>
  <si>
    <t>idPerson</t>
  </si>
  <si>
    <t>number</t>
  </si>
  <si>
    <t>X</t>
  </si>
  <si>
    <t xml:space="preserve">Unique identifier of the person </t>
  </si>
  <si>
    <t>idSex</t>
  </si>
  <si>
    <t>Id of the sex the person has on the database.</t>
  </si>
  <si>
    <t>firstName</t>
  </si>
  <si>
    <t>varchar</t>
  </si>
  <si>
    <t>secondName</t>
  </si>
  <si>
    <t>firstSurname</t>
  </si>
  <si>
    <t>First surname name of the person</t>
  </si>
  <si>
    <t>secondSurname</t>
  </si>
  <si>
    <t>datebirth</t>
  </si>
  <si>
    <t>date</t>
  </si>
  <si>
    <t>photo</t>
  </si>
  <si>
    <t>longblob</t>
  </si>
  <si>
    <t>TABLE TYPEOFIDENTIFICATION</t>
  </si>
  <si>
    <t>idTypeIdent</t>
  </si>
  <si>
    <t>Unique identifier of the type of identification</t>
  </si>
  <si>
    <t>nameTypeIdent</t>
  </si>
  <si>
    <t>Name of the identification type the user has</t>
  </si>
  <si>
    <t>sex</t>
  </si>
  <si>
    <t>sexName</t>
  </si>
  <si>
    <t>idNationality</t>
  </si>
  <si>
    <t>country</t>
  </si>
  <si>
    <t>idCountry</t>
  </si>
  <si>
    <t>nameCountry</t>
  </si>
  <si>
    <t>idCity</t>
  </si>
  <si>
    <t>Id of the country the city is in on the database.</t>
  </si>
  <si>
    <t>nameCity</t>
  </si>
  <si>
    <t>idRelative</t>
  </si>
  <si>
    <t>kindship</t>
  </si>
  <si>
    <t>nationalityPerson</t>
  </si>
  <si>
    <t>Id of the person</t>
  </si>
  <si>
    <t>Id of the nationality</t>
  </si>
  <si>
    <t>idSystemUser</t>
  </si>
  <si>
    <t>username</t>
  </si>
  <si>
    <t>phoneNumber</t>
  </si>
  <si>
    <t>email</t>
  </si>
  <si>
    <t>pswd</t>
  </si>
  <si>
    <t>idIdentification</t>
  </si>
  <si>
    <t>Id of the identification type on the database.</t>
  </si>
  <si>
    <t>identNumber</t>
  </si>
  <si>
    <t>Identification number</t>
  </si>
  <si>
    <t>idIdent</t>
  </si>
  <si>
    <t>Id of the identification</t>
  </si>
  <si>
    <t>Id of the system user</t>
  </si>
  <si>
    <t>end_user</t>
  </si>
  <si>
    <t>idUser</t>
  </si>
  <si>
    <t>administrator</t>
  </si>
  <si>
    <t>idAdministrator</t>
  </si>
  <si>
    <t>Id of the city</t>
  </si>
  <si>
    <t>biography</t>
  </si>
  <si>
    <t>Biography of the participant</t>
  </si>
  <si>
    <t>height</t>
  </si>
  <si>
    <t>Height of the participant</t>
  </si>
  <si>
    <t>trivia</t>
  </si>
  <si>
    <t>Trivia of the participant</t>
  </si>
  <si>
    <t>typeOfProduct</t>
  </si>
  <si>
    <t>idType</t>
  </si>
  <si>
    <t>Unique identifier of the type of product</t>
  </si>
  <si>
    <t>nickname</t>
  </si>
  <si>
    <t>product</t>
  </si>
  <si>
    <t>idProduct</t>
  </si>
  <si>
    <t>Unique identifier of the product</t>
  </si>
  <si>
    <t>Id of the type of product theproduct has on the database.</t>
  </si>
  <si>
    <t>releaseYear</t>
  </si>
  <si>
    <t>title</t>
  </si>
  <si>
    <t>Title of the product</t>
  </si>
  <si>
    <t>duration</t>
  </si>
  <si>
    <t>trailer</t>
  </si>
  <si>
    <t>Trailer o the product</t>
  </si>
  <si>
    <t>price</t>
  </si>
  <si>
    <t>synopsis</t>
  </si>
  <si>
    <t>Id of the product</t>
  </si>
  <si>
    <t>oldPrice</t>
  </si>
  <si>
    <t>Old price of the product stored in the binnacle</t>
  </si>
  <si>
    <t>newPrice</t>
  </si>
  <si>
    <t>New price of the product stored in the binnacle</t>
  </si>
  <si>
    <t>dateBinnacle</t>
  </si>
  <si>
    <t>Date of the binnacle</t>
  </si>
  <si>
    <t>idSeason</t>
  </si>
  <si>
    <t>Id of the product the season belongs to</t>
  </si>
  <si>
    <t>numberSeason</t>
  </si>
  <si>
    <t>Number of the season</t>
  </si>
  <si>
    <t>Duration of the season</t>
  </si>
  <si>
    <t>idEpisode</t>
  </si>
  <si>
    <t>Id of the season the episode belongs to</t>
  </si>
  <si>
    <t>numberEpisode</t>
  </si>
  <si>
    <t>Number of the episode</t>
  </si>
  <si>
    <t>Name of the episode</t>
  </si>
  <si>
    <t>Duration of the episode</t>
  </si>
  <si>
    <t>idPhoto</t>
  </si>
  <si>
    <t>image</t>
  </si>
  <si>
    <t>Image stored</t>
  </si>
  <si>
    <t>Unique identifier of the type of participant</t>
  </si>
  <si>
    <t>nameType</t>
  </si>
  <si>
    <t>idParticipant</t>
  </si>
  <si>
    <t>Id of the participant</t>
  </si>
  <si>
    <t>rol</t>
  </si>
  <si>
    <t>Role of the participant in the product</t>
  </si>
  <si>
    <t>Id of the first participant</t>
  </si>
  <si>
    <t>idParticipant2</t>
  </si>
  <si>
    <t>Id of the second participant</t>
  </si>
  <si>
    <t>Relative between the participants</t>
  </si>
  <si>
    <t>payment</t>
  </si>
  <si>
    <t>idPayment</t>
  </si>
  <si>
    <t>idCard</t>
  </si>
  <si>
    <t>cardNumber</t>
  </si>
  <si>
    <t>Card number</t>
  </si>
  <si>
    <t>expiration</t>
  </si>
  <si>
    <t>Expiration date of the card</t>
  </si>
  <si>
    <t>ccv</t>
  </si>
  <si>
    <t>CCV code of the card</t>
  </si>
  <si>
    <t>ownerName</t>
  </si>
  <si>
    <t>Owner name registered on the card</t>
  </si>
  <si>
    <t>Id of the user who holds the wishlist</t>
  </si>
  <si>
    <t>Id of the product in the wishlist</t>
  </si>
  <si>
    <t>Id of the user who did the purchase</t>
  </si>
  <si>
    <t>Id of the product in the purchase</t>
  </si>
  <si>
    <t>Id of the payment used</t>
  </si>
  <si>
    <t>history</t>
  </si>
  <si>
    <t>History of the purchase</t>
  </si>
  <si>
    <t>catalog</t>
  </si>
  <si>
    <t>idCatalog</t>
  </si>
  <si>
    <t>genre</t>
  </si>
  <si>
    <t>Name of the catalog (genre) a product can have</t>
  </si>
  <si>
    <t>Id of the catalog</t>
  </si>
  <si>
    <t>platform</t>
  </si>
  <si>
    <t>idPlatform</t>
  </si>
  <si>
    <t>namePlatform</t>
  </si>
  <si>
    <t>Id of the platform</t>
  </si>
  <si>
    <t>review</t>
  </si>
  <si>
    <t>Id of the user</t>
  </si>
  <si>
    <t>stars</t>
  </si>
  <si>
    <t>Calification of the product by the user</t>
  </si>
  <si>
    <t>commentary</t>
  </si>
  <si>
    <t>description</t>
  </si>
  <si>
    <t>Comment of the product by the user</t>
  </si>
  <si>
    <t>visitDate</t>
  </si>
  <si>
    <t>datetime</t>
  </si>
  <si>
    <t>Visit date of the product by the user</t>
  </si>
  <si>
    <t xml:space="preserve">Stored Procedure that receives the information of the person and system user, and inserts the information given by the user. </t>
  </si>
  <si>
    <t>If of the person (and user) created</t>
  </si>
  <si>
    <t xml:space="preserve">Stored Procedure that receives the information to update a user and updates it with the information given by the user. </t>
  </si>
  <si>
    <t>pIdUser</t>
  </si>
  <si>
    <t>Id of the user to update</t>
  </si>
  <si>
    <t>New id of the sex of the person</t>
  </si>
  <si>
    <t>New first name of the person</t>
  </si>
  <si>
    <t>New second name of the person</t>
  </si>
  <si>
    <t>New first surname of the person</t>
  </si>
  <si>
    <t>New second surname of the person</t>
  </si>
  <si>
    <t>New date of bith of the person</t>
  </si>
  <si>
    <t>New photo of the person</t>
  </si>
  <si>
    <t>New username of the system user</t>
  </si>
  <si>
    <t>New phone number of the system user</t>
  </si>
  <si>
    <t>New email of the system user</t>
  </si>
  <si>
    <t>New password of the system user</t>
  </si>
  <si>
    <t>Id of the user to delete</t>
  </si>
  <si>
    <t>Stored Procedure that receives the id of a product, a user and a payment to register it as a purchase in the database</t>
  </si>
  <si>
    <t>Id of the user making the purchase</t>
  </si>
  <si>
    <t>Id of the product being bought</t>
  </si>
  <si>
    <t>pIdPayment</t>
  </si>
  <si>
    <t>Id of the payment used in the purchase</t>
  </si>
  <si>
    <t>Stored Procedure that receives the id of a product, a user and a comment made by it and stores it in the database</t>
  </si>
  <si>
    <t>Id of the user making the comment</t>
  </si>
  <si>
    <t>Id of the product being commented on</t>
  </si>
  <si>
    <t>pDescription</t>
  </si>
  <si>
    <t>Comment of the product from the user</t>
  </si>
  <si>
    <t>Stored Procedure that receives the id of a product, a user and a new comment made by it, updating it in the database</t>
  </si>
  <si>
    <t>New comment of the product from the user, the text will be updated with it</t>
  </si>
  <si>
    <t>Stored Procedure that receives the id of a product, a user and a review (in stars) made by the user and stores it in the database</t>
  </si>
  <si>
    <t>Id of the user making the review</t>
  </si>
  <si>
    <t>Id of the product being reviewed</t>
  </si>
  <si>
    <t>pStars</t>
  </si>
  <si>
    <t>Review (in starts) of the product from the user</t>
  </si>
  <si>
    <t>Stored Procedure that receives the id of a product, a user and a new review (in stars) made by the user and stores it in the database</t>
  </si>
  <si>
    <t>Stored Procedure that receives the id of a product and the id of a user and stores a favourite relationship between them in the database</t>
  </si>
  <si>
    <t>Id of the user adding the product as favourite</t>
  </si>
  <si>
    <t>Id of the product being added as favourite</t>
  </si>
  <si>
    <t>Stored Procedure that receives the id of a user and retrieves all the products added on its wishlist</t>
  </si>
  <si>
    <t>Id of the user to retrieve the wishlist from</t>
  </si>
  <si>
    <t>Stored Procedure that receives the id of a user and a product and deletes the comment made by the user on the product.</t>
  </si>
  <si>
    <t>Id of the user who made the comment</t>
  </si>
  <si>
    <t>Id of the product the comment is on</t>
  </si>
  <si>
    <t>Stored Procedure that receives the id of a user and a product and deletes the review made by the user on the product.</t>
  </si>
  <si>
    <t>Id of the user who made the review</t>
  </si>
  <si>
    <t>Id of the product the review is on</t>
  </si>
  <si>
    <t>Stored Procedure that receives the id of a user and a product and removes its favourite association</t>
  </si>
  <si>
    <t>Id of the user who is deleting the favourite</t>
  </si>
  <si>
    <t>Id of the product stored as favourite</t>
  </si>
  <si>
    <t>Stored Procedure that receives the information of the card and stores it in the database as a future payment method for the user</t>
  </si>
  <si>
    <t>pCardNumber</t>
  </si>
  <si>
    <t>Card number of the card to register</t>
  </si>
  <si>
    <t>pExpiration</t>
  </si>
  <si>
    <t>pCcv</t>
  </si>
  <si>
    <t>Ccv code of the card</t>
  </si>
  <si>
    <t>pOwnerName</t>
  </si>
  <si>
    <t>Owner name of the person registered on the card</t>
  </si>
  <si>
    <t>Stored Procedure that receives the id of a user and a card and removes the payment method from the database</t>
  </si>
  <si>
    <t>Id of the user who is deleting the card</t>
  </si>
  <si>
    <t>pIdCard</t>
  </si>
  <si>
    <t>Id of the card to delete</t>
  </si>
  <si>
    <t>Stored Procedure that receives the id of a user and retrieves all payment methods for it</t>
  </si>
  <si>
    <t>Id of the user to get the payment methods</t>
  </si>
  <si>
    <t>Stored Procedure that receives the information of the person and participant, and inserts the information in the database storing it as a participant</t>
  </si>
  <si>
    <t>pCity</t>
  </si>
  <si>
    <t>Id of the city of the participant</t>
  </si>
  <si>
    <t>pBiography</t>
  </si>
  <si>
    <t>pHeight</t>
  </si>
  <si>
    <t>pTrivia</t>
  </si>
  <si>
    <t>Photo of the participant</t>
  </si>
  <si>
    <t>Id of the inserted participant</t>
  </si>
  <si>
    <t>Stored Procedure that receives the id two participants a a relationship type and stores their relationship in the database</t>
  </si>
  <si>
    <t>Id of the participant adding the relationship</t>
  </si>
  <si>
    <t>pIdRelative</t>
  </si>
  <si>
    <t>Id of the second participant adding the relationship</t>
  </si>
  <si>
    <t>pIdKinship</t>
  </si>
  <si>
    <t>Id of the relationship type</t>
  </si>
  <si>
    <t>Stored Procedure that receives the id of a participant and deletes all its information on the database.</t>
  </si>
  <si>
    <t>Id of the participant to delete</t>
  </si>
  <si>
    <t>Stored Procedure that receives the id of a participant, and updates its information in the database</t>
  </si>
  <si>
    <t>Id of the updated participant</t>
  </si>
  <si>
    <t>New id of the city of the participant</t>
  </si>
  <si>
    <t>New biography of the participant</t>
  </si>
  <si>
    <t>New height of the participant</t>
  </si>
  <si>
    <t>New trivia of the participant</t>
  </si>
  <si>
    <t>New photo of the participant</t>
  </si>
  <si>
    <t>Stored Procedure that receives the id of a participant and retrieves all their information</t>
  </si>
  <si>
    <t>Stored Procedure that receives the id of a participant and retrieves all their nationalities</t>
  </si>
  <si>
    <t>Stored Procedure that retrieves the data of the participants</t>
  </si>
  <si>
    <t>Stored Procedure that receives the id of a participant and retrieves all their relatives</t>
  </si>
  <si>
    <t>pIdSeason</t>
  </si>
  <si>
    <t>Id that refers to the Season</t>
  </si>
  <si>
    <t>Adds a season to a product</t>
  </si>
  <si>
    <t>pNumberSeason</t>
  </si>
  <si>
    <t>The number of the season</t>
  </si>
  <si>
    <t>The id of the season</t>
  </si>
  <si>
    <t>Id that refers to the season of the episode</t>
  </si>
  <si>
    <t>pNumberEpisode</t>
  </si>
  <si>
    <t>The number of the episode</t>
  </si>
  <si>
    <t>The name of the episode</t>
  </si>
  <si>
    <t>Deletes an episode from a product</t>
  </si>
  <si>
    <t>pIdEpisode</t>
  </si>
  <si>
    <t>Id that refers to the Episode</t>
  </si>
  <si>
    <t>pImage</t>
  </si>
  <si>
    <t>Blob</t>
  </si>
  <si>
    <t>The binary object of the image</t>
  </si>
  <si>
    <t>removePhoto</t>
  </si>
  <si>
    <t>Deletes a photo to the product</t>
  </si>
  <si>
    <t>pIdPhoto</t>
  </si>
  <si>
    <t>Id that refers to the photo</t>
  </si>
  <si>
    <t>addGenre</t>
  </si>
  <si>
    <t>pIdGenre</t>
  </si>
  <si>
    <t>Id that refers to the genre</t>
  </si>
  <si>
    <t>pidPlatform</t>
  </si>
  <si>
    <t>pidUser</t>
  </si>
  <si>
    <t>Id that refers to the User</t>
  </si>
  <si>
    <t>Returns products recently visited by an user</t>
  </si>
  <si>
    <t>Id that refers to the user</t>
  </si>
  <si>
    <t>insertKinship</t>
  </si>
  <si>
    <t>setKinship</t>
  </si>
  <si>
    <t>Id that refers to the relative</t>
  </si>
  <si>
    <t>pKinship</t>
  </si>
  <si>
    <t>The kinship of the relative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</si>
</sst>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5" xfId="0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theme" Target="theme/theme1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hyperlink" Target="#CatalogxProduct!A1"/><Relationship Id="rId21" Type="http://schemas.openxmlformats.org/officeDocument/2006/relationships/hyperlink" Target="#ParticipantXRelative!A1"/><Relationship Id="rId42" Type="http://schemas.openxmlformats.org/officeDocument/2006/relationships/hyperlink" Target="#insertFavorite!A1"/><Relationship Id="rId47" Type="http://schemas.openxmlformats.org/officeDocument/2006/relationships/hyperlink" Target="#deleteReview!A1"/><Relationship Id="rId63" Type="http://schemas.openxmlformats.org/officeDocument/2006/relationships/hyperlink" Target="#insertTypeIdent!A1"/><Relationship Id="rId68" Type="http://schemas.openxmlformats.org/officeDocument/2006/relationships/hyperlink" Target="#insertTypeProduct!A1"/><Relationship Id="rId84" Type="http://schemas.openxmlformats.org/officeDocument/2006/relationships/hyperlink" Target="#setCountry!A1"/><Relationship Id="rId89" Type="http://schemas.openxmlformats.org/officeDocument/2006/relationships/hyperlink" Target="#setTypeParticipant!A1"/><Relationship Id="rId112" Type="http://schemas.openxmlformats.org/officeDocument/2006/relationships/hyperlink" Target="#setKinship!A1"/><Relationship Id="rId16" Type="http://schemas.openxmlformats.org/officeDocument/2006/relationships/hyperlink" Target="#Season!A1"/><Relationship Id="rId107" Type="http://schemas.openxmlformats.org/officeDocument/2006/relationships/hyperlink" Target="#getUsersStatisticsByAge!A1"/><Relationship Id="rId11" Type="http://schemas.openxmlformats.org/officeDocument/2006/relationships/hyperlink" Target="#Administrator!A1"/><Relationship Id="rId32" Type="http://schemas.openxmlformats.org/officeDocument/2006/relationships/hyperlink" Target="#insertUser!A1"/><Relationship Id="rId37" Type="http://schemas.openxmlformats.org/officeDocument/2006/relationships/hyperlink" Target="#buyProduct!A1"/><Relationship Id="rId53" Type="http://schemas.openxmlformats.org/officeDocument/2006/relationships/hyperlink" Target="#updateParticipant!A1"/><Relationship Id="rId58" Type="http://schemas.openxmlformats.org/officeDocument/2006/relationships/hyperlink" Target="#insertPerson!A1"/><Relationship Id="rId74" Type="http://schemas.openxmlformats.org/officeDocument/2006/relationships/hyperlink" Target="#getInfoInsertParticipant!A1"/><Relationship Id="rId79" Type="http://schemas.openxmlformats.org/officeDocument/2006/relationships/hyperlink" Target="#getTypesProducts!A1"/><Relationship Id="rId102" Type="http://schemas.openxmlformats.org/officeDocument/2006/relationships/hyperlink" Target="#getProducts!A1"/><Relationship Id="rId5" Type="http://schemas.openxmlformats.org/officeDocument/2006/relationships/hyperlink" Target="#Country!A1"/><Relationship Id="rId90" Type="http://schemas.openxmlformats.org/officeDocument/2006/relationships/hyperlink" Target="#setPlatform!A1"/><Relationship Id="rId95" Type="http://schemas.openxmlformats.org/officeDocument/2006/relationships/hyperlink" Target="#addParticipant!A1"/><Relationship Id="rId22" Type="http://schemas.openxmlformats.org/officeDocument/2006/relationships/hyperlink" Target="#Payment!A1"/><Relationship Id="rId27" Type="http://schemas.openxmlformats.org/officeDocument/2006/relationships/hyperlink" Target="#Platform!A1"/><Relationship Id="rId43" Type="http://schemas.openxmlformats.org/officeDocument/2006/relationships/hyperlink" Target="#City!A1"/><Relationship Id="rId48" Type="http://schemas.openxmlformats.org/officeDocument/2006/relationships/hyperlink" Target="#insertCard!A1"/><Relationship Id="rId64" Type="http://schemas.openxmlformats.org/officeDocument/2006/relationships/hyperlink" Target="#insertCountry!A1"/><Relationship Id="rId69" Type="http://schemas.openxmlformats.org/officeDocument/2006/relationships/hyperlink" Target="#insertPlatform!A1"/><Relationship Id="rId80" Type="http://schemas.openxmlformats.org/officeDocument/2006/relationships/hyperlink" Target="#getTypesParticipants!A1"/><Relationship Id="rId85" Type="http://schemas.openxmlformats.org/officeDocument/2006/relationships/hyperlink" Target="#setCIty!A1"/><Relationship Id="rId12" Type="http://schemas.openxmlformats.org/officeDocument/2006/relationships/hyperlink" Target="#Participant!A1"/><Relationship Id="rId17" Type="http://schemas.openxmlformats.org/officeDocument/2006/relationships/hyperlink" Target="#Episode!A1"/><Relationship Id="rId33" Type="http://schemas.openxmlformats.org/officeDocument/2006/relationships/hyperlink" Target="#Catalog!A1"/><Relationship Id="rId38" Type="http://schemas.openxmlformats.org/officeDocument/2006/relationships/hyperlink" Target="#commentProduct!A1"/><Relationship Id="rId59" Type="http://schemas.openxmlformats.org/officeDocument/2006/relationships/hyperlink" Target="#insertSystemUser!A1"/><Relationship Id="rId103" Type="http://schemas.openxmlformats.org/officeDocument/2006/relationships/hyperlink" Target="#getProductInfo!A1"/><Relationship Id="rId108" Type="http://schemas.openxmlformats.org/officeDocument/2006/relationships/hyperlink" Target="#getUsersStatisticsBySex!A1"/><Relationship Id="rId54" Type="http://schemas.openxmlformats.org/officeDocument/2006/relationships/hyperlink" Target="#getParticipantInfo!A1"/><Relationship Id="rId70" Type="http://schemas.openxmlformats.org/officeDocument/2006/relationships/hyperlink" Target="#getSystemUserInfo!A1"/><Relationship Id="rId75" Type="http://schemas.openxmlformats.org/officeDocument/2006/relationships/hyperlink" Target="#getCountries!A1"/><Relationship Id="rId91" Type="http://schemas.openxmlformats.org/officeDocument/2006/relationships/hyperlink" Target="#setSex!A1"/><Relationship Id="rId96" Type="http://schemas.openxmlformats.org/officeDocument/2006/relationships/hyperlink" Target="#addSeason!A1"/><Relationship Id="rId1" Type="http://schemas.openxmlformats.org/officeDocument/2006/relationships/hyperlink" Target="#Person!A1"/><Relationship Id="rId6" Type="http://schemas.openxmlformats.org/officeDocument/2006/relationships/hyperlink" Target="#NationalityPerson!A1"/><Relationship Id="rId15" Type="http://schemas.openxmlformats.org/officeDocument/2006/relationships/hyperlink" Target="#Binnacle!A1"/><Relationship Id="rId23" Type="http://schemas.openxmlformats.org/officeDocument/2006/relationships/hyperlink" Target="#Card!A1"/><Relationship Id="rId28" Type="http://schemas.openxmlformats.org/officeDocument/2006/relationships/hyperlink" Target="#ProductXPlatform!A1"/><Relationship Id="rId36" Type="http://schemas.openxmlformats.org/officeDocument/2006/relationships/hyperlink" Target="#deleteUser!A1"/><Relationship Id="rId49" Type="http://schemas.openxmlformats.org/officeDocument/2006/relationships/hyperlink" Target="#removeCard!A1"/><Relationship Id="rId57" Type="http://schemas.openxmlformats.org/officeDocument/2006/relationships/hyperlink" Target="#getParticipantRelatives!A1"/><Relationship Id="rId106" Type="http://schemas.openxmlformats.org/officeDocument/2006/relationships/hyperlink" Target="#getProductStatistics!A1"/><Relationship Id="rId10" Type="http://schemas.openxmlformats.org/officeDocument/2006/relationships/hyperlink" Target="#End_user!A1"/><Relationship Id="rId31" Type="http://schemas.openxmlformats.org/officeDocument/2006/relationships/hyperlink" Target="#UserXProduct!A1"/><Relationship Id="rId44" Type="http://schemas.openxmlformats.org/officeDocument/2006/relationships/hyperlink" Target="#Relative!A1"/><Relationship Id="rId52" Type="http://schemas.openxmlformats.org/officeDocument/2006/relationships/hyperlink" Target="#deleteParticipant!A1"/><Relationship Id="rId60" Type="http://schemas.openxmlformats.org/officeDocument/2006/relationships/hyperlink" Target="#insertSex!A1"/><Relationship Id="rId65" Type="http://schemas.openxmlformats.org/officeDocument/2006/relationships/hyperlink" Target="#insertCity!A1"/><Relationship Id="rId73" Type="http://schemas.openxmlformats.org/officeDocument/2006/relationships/hyperlink" Target="#insertBinnacle!A1"/><Relationship Id="rId78" Type="http://schemas.openxmlformats.org/officeDocument/2006/relationships/hyperlink" Target="#getCatalogs!A1"/><Relationship Id="rId81" Type="http://schemas.openxmlformats.org/officeDocument/2006/relationships/hyperlink" Target="#getPlatforms!A1"/><Relationship Id="rId86" Type="http://schemas.openxmlformats.org/officeDocument/2006/relationships/hyperlink" Target="#setTypeIdent!A1"/><Relationship Id="rId94" Type="http://schemas.openxmlformats.org/officeDocument/2006/relationships/hyperlink" Target="#updateProduct!A1"/><Relationship Id="rId99" Type="http://schemas.openxmlformats.org/officeDocument/2006/relationships/hyperlink" Target="#removeEpisode!A1"/><Relationship Id="rId101" Type="http://schemas.openxmlformats.org/officeDocument/2006/relationships/hyperlink" Target="#removePhoto!A1"/><Relationship Id="rId4" Type="http://schemas.openxmlformats.org/officeDocument/2006/relationships/hyperlink" Target="#Nationality!A1"/><Relationship Id="rId9" Type="http://schemas.openxmlformats.org/officeDocument/2006/relationships/hyperlink" Target="#IdentXSystem!A1"/><Relationship Id="rId13" Type="http://schemas.openxmlformats.org/officeDocument/2006/relationships/hyperlink" Target="#TypeOfProduct!A1"/><Relationship Id="rId18" Type="http://schemas.openxmlformats.org/officeDocument/2006/relationships/hyperlink" Target="#Photo!A1"/><Relationship Id="rId39" Type="http://schemas.openxmlformats.org/officeDocument/2006/relationships/hyperlink" Target="#reviewProduct!A1"/><Relationship Id="rId109" Type="http://schemas.openxmlformats.org/officeDocument/2006/relationships/hyperlink" Target="#visitProduct!A1"/><Relationship Id="rId34" Type="http://schemas.openxmlformats.org/officeDocument/2006/relationships/hyperlink" Target="#updateUser!A1"/><Relationship Id="rId50" Type="http://schemas.openxmlformats.org/officeDocument/2006/relationships/hyperlink" Target="#insertParticipant!A1"/><Relationship Id="rId55" Type="http://schemas.openxmlformats.org/officeDocument/2006/relationships/hyperlink" Target="#getParticipantNat!A1"/><Relationship Id="rId76" Type="http://schemas.openxmlformats.org/officeDocument/2006/relationships/hyperlink" Target="#getCities!A1"/><Relationship Id="rId97" Type="http://schemas.openxmlformats.org/officeDocument/2006/relationships/hyperlink" Target="#removeSeason!A1"/><Relationship Id="rId104" Type="http://schemas.openxmlformats.org/officeDocument/2006/relationships/hyperlink" Target="#addGenre!A1"/><Relationship Id="rId7" Type="http://schemas.openxmlformats.org/officeDocument/2006/relationships/hyperlink" Target="#SystemUser!A1"/><Relationship Id="rId71" Type="http://schemas.openxmlformats.org/officeDocument/2006/relationships/hyperlink" Target="#validateRegister!A1"/><Relationship Id="rId92" Type="http://schemas.openxmlformats.org/officeDocument/2006/relationships/hyperlink" Target="#insertAdministrator!A1"/><Relationship Id="rId2" Type="http://schemas.openxmlformats.org/officeDocument/2006/relationships/hyperlink" Target="#TypeOfIdentification!A1"/><Relationship Id="rId29" Type="http://schemas.openxmlformats.org/officeDocument/2006/relationships/hyperlink" Target="#Review!A1"/><Relationship Id="rId24" Type="http://schemas.openxmlformats.org/officeDocument/2006/relationships/hyperlink" Target="#Wishlist!A1"/><Relationship Id="rId40" Type="http://schemas.openxmlformats.org/officeDocument/2006/relationships/hyperlink" Target="#updateReview!A1"/><Relationship Id="rId45" Type="http://schemas.openxmlformats.org/officeDocument/2006/relationships/hyperlink" Target="#getWishlist!A1"/><Relationship Id="rId66" Type="http://schemas.openxmlformats.org/officeDocument/2006/relationships/hyperlink" Target="#insertTypeParticipant!A1"/><Relationship Id="rId87" Type="http://schemas.openxmlformats.org/officeDocument/2006/relationships/hyperlink" Target="#setCatalog!A1"/><Relationship Id="rId110" Type="http://schemas.openxmlformats.org/officeDocument/2006/relationships/hyperlink" Target="#getRecentlyVisited!A1"/><Relationship Id="rId61" Type="http://schemas.openxmlformats.org/officeDocument/2006/relationships/hyperlink" Target="#insertNationality!A1"/><Relationship Id="rId82" Type="http://schemas.openxmlformats.org/officeDocument/2006/relationships/hyperlink" Target="#getSex!A1"/><Relationship Id="rId19" Type="http://schemas.openxmlformats.org/officeDocument/2006/relationships/hyperlink" Target="#TypeOfParticipant!A1"/><Relationship Id="rId14" Type="http://schemas.openxmlformats.org/officeDocument/2006/relationships/hyperlink" Target="#Product!A1"/><Relationship Id="rId30" Type="http://schemas.openxmlformats.org/officeDocument/2006/relationships/hyperlink" Target="#Commentary!A1"/><Relationship Id="rId35" Type="http://schemas.openxmlformats.org/officeDocument/2006/relationships/hyperlink" Target="#updateComment!A1"/><Relationship Id="rId56" Type="http://schemas.openxmlformats.org/officeDocument/2006/relationships/hyperlink" Target="#getInfoParticipants!A1"/><Relationship Id="rId77" Type="http://schemas.openxmlformats.org/officeDocument/2006/relationships/hyperlink" Target="#getTypesIdents!A1"/><Relationship Id="rId100" Type="http://schemas.openxmlformats.org/officeDocument/2006/relationships/hyperlink" Target="#addPhoto!A1"/><Relationship Id="rId105" Type="http://schemas.openxmlformats.org/officeDocument/2006/relationships/hyperlink" Target="#addPlatform!A1"/><Relationship Id="rId8" Type="http://schemas.openxmlformats.org/officeDocument/2006/relationships/hyperlink" Target="#Identification!A1"/><Relationship Id="rId51" Type="http://schemas.openxmlformats.org/officeDocument/2006/relationships/hyperlink" Target="#insertRelative!A1"/><Relationship Id="rId72" Type="http://schemas.openxmlformats.org/officeDocument/2006/relationships/hyperlink" Target="#getNationality!A1"/><Relationship Id="rId93" Type="http://schemas.openxmlformats.org/officeDocument/2006/relationships/hyperlink" Target="#insertProduct!A1"/><Relationship Id="rId98" Type="http://schemas.openxmlformats.org/officeDocument/2006/relationships/hyperlink" Target="#addEpisode!A1"/><Relationship Id="rId3" Type="http://schemas.openxmlformats.org/officeDocument/2006/relationships/hyperlink" Target="#Sex!A1"/><Relationship Id="rId25" Type="http://schemas.openxmlformats.org/officeDocument/2006/relationships/hyperlink" Target="#Purchase!A1"/><Relationship Id="rId46" Type="http://schemas.openxmlformats.org/officeDocument/2006/relationships/hyperlink" Target="#deleteComment!A1"/><Relationship Id="rId67" Type="http://schemas.openxmlformats.org/officeDocument/2006/relationships/hyperlink" Target="#insertCatalog!A1"/><Relationship Id="rId20" Type="http://schemas.openxmlformats.org/officeDocument/2006/relationships/hyperlink" Target="#ParticipantXProduct!A1"/><Relationship Id="rId41" Type="http://schemas.openxmlformats.org/officeDocument/2006/relationships/hyperlink" Target="#'&lt;End of Dictionary&gt;'!A1"/><Relationship Id="rId62" Type="http://schemas.openxmlformats.org/officeDocument/2006/relationships/hyperlink" Target="#insertNationalityPerson!A1"/><Relationship Id="rId83" Type="http://schemas.openxmlformats.org/officeDocument/2006/relationships/hyperlink" Target="#setNationality!A1"/><Relationship Id="rId88" Type="http://schemas.openxmlformats.org/officeDocument/2006/relationships/hyperlink" Target="#setTypeProduct!A1"/><Relationship Id="rId111" Type="http://schemas.openxmlformats.org/officeDocument/2006/relationships/hyperlink" Target="#insertKinship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5.xml.rels><?xml version="1.0" encoding="UTF-8" standalone="yes"?>
<Relationships xmlns="http://schemas.openxmlformats.org/package/2006/relationships"><Relationship Id="rId2" Type="http://schemas.openxmlformats.org/officeDocument/2006/relationships/hyperlink" Target="#Index!A117"/><Relationship Id="rId1" Type="http://schemas.openxmlformats.org/officeDocument/2006/relationships/hyperlink" Target="#Index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27454</xdr:colOff>
      <xdr:row>2</xdr:row>
      <xdr:rowOff>31937</xdr:rowOff>
    </xdr:from>
    <xdr:to>
      <xdr:col>5</xdr:col>
      <xdr:colOff>241486</xdr:colOff>
      <xdr:row>2</xdr:row>
      <xdr:rowOff>263393</xdr:rowOff>
    </xdr:to>
    <xdr:sp macro="[0]!alignment" textlink="">
      <xdr:nvSpPr>
        <xdr:cNvPr id="8" name="Rectángulo: esquinas redondeada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926D5-C856-4C84-B044-7FDEAA914490}"/>
            </a:ext>
          </a:extLst>
        </xdr:cNvPr>
        <xdr:cNvSpPr/>
      </xdr:nvSpPr>
      <xdr:spPr>
        <a:xfrm>
          <a:off x="4308101" y="435349"/>
          <a:ext cx="1469091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Person</a:t>
          </a:r>
        </a:p>
      </xdr:txBody>
    </xdr:sp>
    <xdr:clientData/>
  </xdr:twoCellAnchor>
  <xdr:twoCellAnchor>
    <xdr:from>
      <xdr:col>4</xdr:col>
      <xdr:colOff>27454</xdr:colOff>
      <xdr:row>3</xdr:row>
      <xdr:rowOff>22412</xdr:rowOff>
    </xdr:from>
    <xdr:to>
      <xdr:col>5</xdr:col>
      <xdr:colOff>241486</xdr:colOff>
      <xdr:row>3</xdr:row>
      <xdr:rowOff>253868</xdr:rowOff>
    </xdr:to>
    <xdr:sp macro="[0]!canton" textlink="">
      <xdr:nvSpPr>
        <xdr:cNvPr id="9" name="Rectángulo: esquinas redondeada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45485EB-EC79-4820-9B9E-4F8B5E6F2BE8}"/>
            </a:ext>
          </a:extLst>
        </xdr:cNvPr>
        <xdr:cNvSpPr/>
      </xdr:nvSpPr>
      <xdr:spPr>
        <a:xfrm>
          <a:off x="4308101" y="705971"/>
          <a:ext cx="1469091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TypeOfIdentification</a:t>
          </a:r>
        </a:p>
      </xdr:txBody>
    </xdr:sp>
    <xdr:clientData/>
  </xdr:twoCellAnchor>
  <xdr:twoCellAnchor>
    <xdr:from>
      <xdr:col>4</xdr:col>
      <xdr:colOff>27454</xdr:colOff>
      <xdr:row>4</xdr:row>
      <xdr:rowOff>31937</xdr:rowOff>
    </xdr:from>
    <xdr:to>
      <xdr:col>5</xdr:col>
      <xdr:colOff>241486</xdr:colOff>
      <xdr:row>4</xdr:row>
      <xdr:rowOff>263393</xdr:rowOff>
    </xdr:to>
    <xdr:sp macro="[0]!alignment" textlink="">
      <xdr:nvSpPr>
        <xdr:cNvPr id="31" name="Rectángulo: esquinas redondeada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B2350F7-A16A-4B07-9B65-25AD39C454F1}"/>
            </a:ext>
          </a:extLst>
        </xdr:cNvPr>
        <xdr:cNvSpPr/>
      </xdr:nvSpPr>
      <xdr:spPr>
        <a:xfrm>
          <a:off x="5014072" y="435349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Sex</a:t>
          </a:r>
        </a:p>
      </xdr:txBody>
    </xdr:sp>
    <xdr:clientData/>
  </xdr:twoCellAnchor>
  <xdr:twoCellAnchor>
    <xdr:from>
      <xdr:col>4</xdr:col>
      <xdr:colOff>27454</xdr:colOff>
      <xdr:row>5</xdr:row>
      <xdr:rowOff>31937</xdr:rowOff>
    </xdr:from>
    <xdr:to>
      <xdr:col>5</xdr:col>
      <xdr:colOff>241486</xdr:colOff>
      <xdr:row>5</xdr:row>
      <xdr:rowOff>263393</xdr:rowOff>
    </xdr:to>
    <xdr:sp macro="[0]!alignment" textlink="">
      <xdr:nvSpPr>
        <xdr:cNvPr id="32" name="Rectángulo: esquinas redondeada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472AED-1F37-463E-AB0E-91E812E53660}"/>
            </a:ext>
          </a:extLst>
        </xdr:cNvPr>
        <xdr:cNvSpPr/>
      </xdr:nvSpPr>
      <xdr:spPr>
        <a:xfrm>
          <a:off x="5014072" y="435349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Nationality</a:t>
          </a:r>
        </a:p>
      </xdr:txBody>
    </xdr:sp>
    <xdr:clientData/>
  </xdr:twoCellAnchor>
  <xdr:twoCellAnchor>
    <xdr:from>
      <xdr:col>4</xdr:col>
      <xdr:colOff>22412</xdr:colOff>
      <xdr:row>6</xdr:row>
      <xdr:rowOff>56029</xdr:rowOff>
    </xdr:from>
    <xdr:to>
      <xdr:col>5</xdr:col>
      <xdr:colOff>236444</xdr:colOff>
      <xdr:row>6</xdr:row>
      <xdr:rowOff>287485</xdr:rowOff>
    </xdr:to>
    <xdr:sp macro="[0]!alignment" textlink="">
      <xdr:nvSpPr>
        <xdr:cNvPr id="2" name="Rectángulo: esquinas redondeada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577BD7-FA98-463A-857B-AA05BEA1F37C}"/>
            </a:ext>
          </a:extLst>
        </xdr:cNvPr>
        <xdr:cNvSpPr/>
      </xdr:nvSpPr>
      <xdr:spPr>
        <a:xfrm>
          <a:off x="7205383" y="2386853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Country</a:t>
          </a:r>
        </a:p>
      </xdr:txBody>
    </xdr:sp>
    <xdr:clientData/>
  </xdr:twoCellAnchor>
  <xdr:twoCellAnchor>
    <xdr:from>
      <xdr:col>4</xdr:col>
      <xdr:colOff>22412</xdr:colOff>
      <xdr:row>9</xdr:row>
      <xdr:rowOff>0</xdr:rowOff>
    </xdr:from>
    <xdr:to>
      <xdr:col>5</xdr:col>
      <xdr:colOff>236444</xdr:colOff>
      <xdr:row>9</xdr:row>
      <xdr:rowOff>231456</xdr:rowOff>
    </xdr:to>
    <xdr:sp macro="[0]!alignment" textlink="">
      <xdr:nvSpPr>
        <xdr:cNvPr id="13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CBDF88D-FBA9-4654-8141-8EE1173E9C74}"/>
            </a:ext>
          </a:extLst>
        </xdr:cNvPr>
        <xdr:cNvSpPr/>
      </xdr:nvSpPr>
      <xdr:spPr>
        <a:xfrm>
          <a:off x="7205383" y="3283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NationalityPerson</a:t>
          </a:r>
        </a:p>
      </xdr:txBody>
    </xdr:sp>
    <xdr:clientData/>
  </xdr:twoCellAnchor>
  <xdr:twoCellAnchor>
    <xdr:from>
      <xdr:col>4</xdr:col>
      <xdr:colOff>22412</xdr:colOff>
      <xdr:row>10</xdr:row>
      <xdr:rowOff>0</xdr:rowOff>
    </xdr:from>
    <xdr:to>
      <xdr:col>5</xdr:col>
      <xdr:colOff>236444</xdr:colOff>
      <xdr:row>10</xdr:row>
      <xdr:rowOff>231456</xdr:rowOff>
    </xdr:to>
    <xdr:sp macro="[0]!alignment" textlink="">
      <xdr:nvSpPr>
        <xdr:cNvPr id="14" name="Rectángulo: esquinas redondeada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B81EFEE-4686-461A-8074-4B6559BD18B5}"/>
            </a:ext>
          </a:extLst>
        </xdr:cNvPr>
        <xdr:cNvSpPr/>
      </xdr:nvSpPr>
      <xdr:spPr>
        <a:xfrm>
          <a:off x="7205383" y="3664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SystemUser</a:t>
          </a:r>
        </a:p>
      </xdr:txBody>
    </xdr:sp>
    <xdr:clientData/>
  </xdr:twoCellAnchor>
  <xdr:twoCellAnchor>
    <xdr:from>
      <xdr:col>4</xdr:col>
      <xdr:colOff>22412</xdr:colOff>
      <xdr:row>11</xdr:row>
      <xdr:rowOff>0</xdr:rowOff>
    </xdr:from>
    <xdr:to>
      <xdr:col>5</xdr:col>
      <xdr:colOff>236444</xdr:colOff>
      <xdr:row>11</xdr:row>
      <xdr:rowOff>231456</xdr:rowOff>
    </xdr:to>
    <xdr:sp macro="[0]!alignment" textlink="">
      <xdr:nvSpPr>
        <xdr:cNvPr id="15" name="Rectángulo: esquinas redondeada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03555DC-909B-41C5-82EC-7F3E7CED91D6}"/>
            </a:ext>
          </a:extLst>
        </xdr:cNvPr>
        <xdr:cNvSpPr/>
      </xdr:nvSpPr>
      <xdr:spPr>
        <a:xfrm>
          <a:off x="7205383" y="4045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Identification</a:t>
          </a:r>
        </a:p>
      </xdr:txBody>
    </xdr:sp>
    <xdr:clientData/>
  </xdr:twoCellAnchor>
  <xdr:twoCellAnchor>
    <xdr:from>
      <xdr:col>4</xdr:col>
      <xdr:colOff>22412</xdr:colOff>
      <xdr:row>12</xdr:row>
      <xdr:rowOff>0</xdr:rowOff>
    </xdr:from>
    <xdr:to>
      <xdr:col>5</xdr:col>
      <xdr:colOff>236444</xdr:colOff>
      <xdr:row>12</xdr:row>
      <xdr:rowOff>231456</xdr:rowOff>
    </xdr:to>
    <xdr:sp macro="[0]!alignment" textlink="">
      <xdr:nvSpPr>
        <xdr:cNvPr id="16" name="Rectángulo: esquinas redondeada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F76955F-1492-46D2-9B6F-04A80B8B5A85}"/>
            </a:ext>
          </a:extLst>
        </xdr:cNvPr>
        <xdr:cNvSpPr/>
      </xdr:nvSpPr>
      <xdr:spPr>
        <a:xfrm>
          <a:off x="7205383" y="4426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IdentXSystem</a:t>
          </a:r>
        </a:p>
      </xdr:txBody>
    </xdr:sp>
    <xdr:clientData/>
  </xdr:twoCellAnchor>
  <xdr:twoCellAnchor>
    <xdr:from>
      <xdr:col>4</xdr:col>
      <xdr:colOff>22412</xdr:colOff>
      <xdr:row>13</xdr:row>
      <xdr:rowOff>0</xdr:rowOff>
    </xdr:from>
    <xdr:to>
      <xdr:col>5</xdr:col>
      <xdr:colOff>236444</xdr:colOff>
      <xdr:row>13</xdr:row>
      <xdr:rowOff>231456</xdr:rowOff>
    </xdr:to>
    <xdr:sp macro="[0]!alignment" textlink="">
      <xdr:nvSpPr>
        <xdr:cNvPr id="17" name="Rectángulo: esquinas redondeadas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E92959-E287-4753-8D15-B3BE8CCBFF71}"/>
            </a:ext>
          </a:extLst>
        </xdr:cNvPr>
        <xdr:cNvSpPr/>
      </xdr:nvSpPr>
      <xdr:spPr>
        <a:xfrm>
          <a:off x="7205383" y="49978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End_user</a:t>
          </a:r>
        </a:p>
      </xdr:txBody>
    </xdr:sp>
    <xdr:clientData/>
  </xdr:twoCellAnchor>
  <xdr:twoCellAnchor>
    <xdr:from>
      <xdr:col>4</xdr:col>
      <xdr:colOff>22412</xdr:colOff>
      <xdr:row>14</xdr:row>
      <xdr:rowOff>0</xdr:rowOff>
    </xdr:from>
    <xdr:to>
      <xdr:col>5</xdr:col>
      <xdr:colOff>236444</xdr:colOff>
      <xdr:row>14</xdr:row>
      <xdr:rowOff>231456</xdr:rowOff>
    </xdr:to>
    <xdr:sp macro="[0]!alignment" textlink="">
      <xdr:nvSpPr>
        <xdr:cNvPr id="18" name="Rectángulo: esquinas redondeadas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D492254-75CD-46E3-BB2B-C14DB71979B2}"/>
            </a:ext>
          </a:extLst>
        </xdr:cNvPr>
        <xdr:cNvSpPr/>
      </xdr:nvSpPr>
      <xdr:spPr>
        <a:xfrm>
          <a:off x="7205383" y="53788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Administrator</a:t>
          </a:r>
        </a:p>
      </xdr:txBody>
    </xdr:sp>
    <xdr:clientData/>
  </xdr:twoCellAnchor>
  <xdr:twoCellAnchor>
    <xdr:from>
      <xdr:col>4</xdr:col>
      <xdr:colOff>22412</xdr:colOff>
      <xdr:row>15</xdr:row>
      <xdr:rowOff>0</xdr:rowOff>
    </xdr:from>
    <xdr:to>
      <xdr:col>5</xdr:col>
      <xdr:colOff>236444</xdr:colOff>
      <xdr:row>15</xdr:row>
      <xdr:rowOff>231456</xdr:rowOff>
    </xdr:to>
    <xdr:sp macro="[0]!alignment" textlink="">
      <xdr:nvSpPr>
        <xdr:cNvPr id="19" name="Rectángulo: esquinas redondeadas 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4C99AD7-4157-467E-B605-37C9AAC615E8}"/>
            </a:ext>
          </a:extLst>
        </xdr:cNvPr>
        <xdr:cNvSpPr/>
      </xdr:nvSpPr>
      <xdr:spPr>
        <a:xfrm>
          <a:off x="7205383" y="57598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Participant</a:t>
          </a:r>
        </a:p>
      </xdr:txBody>
    </xdr:sp>
    <xdr:clientData/>
  </xdr:twoCellAnchor>
  <xdr:twoCellAnchor>
    <xdr:from>
      <xdr:col>4</xdr:col>
      <xdr:colOff>22412</xdr:colOff>
      <xdr:row>16</xdr:row>
      <xdr:rowOff>0</xdr:rowOff>
    </xdr:from>
    <xdr:to>
      <xdr:col>5</xdr:col>
      <xdr:colOff>236444</xdr:colOff>
      <xdr:row>16</xdr:row>
      <xdr:rowOff>231456</xdr:rowOff>
    </xdr:to>
    <xdr:sp macro="[0]!alignment" textlink="">
      <xdr:nvSpPr>
        <xdr:cNvPr id="20" name="Rectángulo: esquinas redondeadas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19CB2EC-8DFF-4055-8E77-6A3BBE197D7C}"/>
            </a:ext>
          </a:extLst>
        </xdr:cNvPr>
        <xdr:cNvSpPr/>
      </xdr:nvSpPr>
      <xdr:spPr>
        <a:xfrm>
          <a:off x="7205383" y="6331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TypeOfProduct</a:t>
          </a:r>
        </a:p>
      </xdr:txBody>
    </xdr:sp>
    <xdr:clientData/>
  </xdr:twoCellAnchor>
  <xdr:twoCellAnchor>
    <xdr:from>
      <xdr:col>4</xdr:col>
      <xdr:colOff>22412</xdr:colOff>
      <xdr:row>17</xdr:row>
      <xdr:rowOff>0</xdr:rowOff>
    </xdr:from>
    <xdr:to>
      <xdr:col>5</xdr:col>
      <xdr:colOff>236444</xdr:colOff>
      <xdr:row>17</xdr:row>
      <xdr:rowOff>231456</xdr:rowOff>
    </xdr:to>
    <xdr:sp macro="[0]!alignment" textlink="">
      <xdr:nvSpPr>
        <xdr:cNvPr id="21" name="Rectángulo: esquinas redondeadas 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B4CAE58-FFA8-418E-A55C-D2D07E1B91E3}"/>
            </a:ext>
          </a:extLst>
        </xdr:cNvPr>
        <xdr:cNvSpPr/>
      </xdr:nvSpPr>
      <xdr:spPr>
        <a:xfrm>
          <a:off x="7205383" y="6712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Product</a:t>
          </a:r>
        </a:p>
      </xdr:txBody>
    </xdr:sp>
    <xdr:clientData/>
  </xdr:twoCellAnchor>
  <xdr:twoCellAnchor>
    <xdr:from>
      <xdr:col>4</xdr:col>
      <xdr:colOff>22412</xdr:colOff>
      <xdr:row>18</xdr:row>
      <xdr:rowOff>0</xdr:rowOff>
    </xdr:from>
    <xdr:to>
      <xdr:col>5</xdr:col>
      <xdr:colOff>236444</xdr:colOff>
      <xdr:row>18</xdr:row>
      <xdr:rowOff>231456</xdr:rowOff>
    </xdr:to>
    <xdr:sp macro="[0]!alignment" textlink="">
      <xdr:nvSpPr>
        <xdr:cNvPr id="22" name="Rectángulo: esquinas redondeadas 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8CE6DD5-D042-444C-93E6-8C1CCC6BA960}"/>
            </a:ext>
          </a:extLst>
        </xdr:cNvPr>
        <xdr:cNvSpPr/>
      </xdr:nvSpPr>
      <xdr:spPr>
        <a:xfrm>
          <a:off x="7205383" y="7093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Binnacle</a:t>
          </a:r>
        </a:p>
      </xdr:txBody>
    </xdr:sp>
    <xdr:clientData/>
  </xdr:twoCellAnchor>
  <xdr:twoCellAnchor>
    <xdr:from>
      <xdr:col>4</xdr:col>
      <xdr:colOff>22412</xdr:colOff>
      <xdr:row>19</xdr:row>
      <xdr:rowOff>0</xdr:rowOff>
    </xdr:from>
    <xdr:to>
      <xdr:col>5</xdr:col>
      <xdr:colOff>236444</xdr:colOff>
      <xdr:row>19</xdr:row>
      <xdr:rowOff>231456</xdr:rowOff>
    </xdr:to>
    <xdr:sp macro="[0]!alignment" textlink="">
      <xdr:nvSpPr>
        <xdr:cNvPr id="23" name="Rectángulo: esquinas redondeadas 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F30FAFA-8B25-4DEB-973C-84281F25470E}"/>
            </a:ext>
          </a:extLst>
        </xdr:cNvPr>
        <xdr:cNvSpPr/>
      </xdr:nvSpPr>
      <xdr:spPr>
        <a:xfrm>
          <a:off x="7205383" y="7474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Season</a:t>
          </a:r>
        </a:p>
      </xdr:txBody>
    </xdr:sp>
    <xdr:clientData/>
  </xdr:twoCellAnchor>
  <xdr:twoCellAnchor>
    <xdr:from>
      <xdr:col>4</xdr:col>
      <xdr:colOff>22412</xdr:colOff>
      <xdr:row>20</xdr:row>
      <xdr:rowOff>0</xdr:rowOff>
    </xdr:from>
    <xdr:to>
      <xdr:col>5</xdr:col>
      <xdr:colOff>236444</xdr:colOff>
      <xdr:row>20</xdr:row>
      <xdr:rowOff>231456</xdr:rowOff>
    </xdr:to>
    <xdr:sp macro="[0]!alignment" textlink="">
      <xdr:nvSpPr>
        <xdr:cNvPr id="24" name="Rectángulo: esquinas redondeadas 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4BF2787-F0F9-4245-A944-CC6CF0925A27}"/>
            </a:ext>
          </a:extLst>
        </xdr:cNvPr>
        <xdr:cNvSpPr/>
      </xdr:nvSpPr>
      <xdr:spPr>
        <a:xfrm>
          <a:off x="7205383" y="7855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Episode</a:t>
          </a:r>
        </a:p>
      </xdr:txBody>
    </xdr:sp>
    <xdr:clientData/>
  </xdr:twoCellAnchor>
  <xdr:twoCellAnchor>
    <xdr:from>
      <xdr:col>4</xdr:col>
      <xdr:colOff>22412</xdr:colOff>
      <xdr:row>21</xdr:row>
      <xdr:rowOff>0</xdr:rowOff>
    </xdr:from>
    <xdr:to>
      <xdr:col>5</xdr:col>
      <xdr:colOff>236444</xdr:colOff>
      <xdr:row>21</xdr:row>
      <xdr:rowOff>231456</xdr:rowOff>
    </xdr:to>
    <xdr:sp macro="[0]!alignment" textlink="">
      <xdr:nvSpPr>
        <xdr:cNvPr id="25" name="Rectángulo: esquinas redondeadas 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D05931-43C2-4B97-AC97-C52C75088032}"/>
            </a:ext>
          </a:extLst>
        </xdr:cNvPr>
        <xdr:cNvSpPr/>
      </xdr:nvSpPr>
      <xdr:spPr>
        <a:xfrm>
          <a:off x="7205383" y="8236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Photo</a:t>
          </a:r>
        </a:p>
      </xdr:txBody>
    </xdr:sp>
    <xdr:clientData/>
  </xdr:twoCellAnchor>
  <xdr:twoCellAnchor>
    <xdr:from>
      <xdr:col>4</xdr:col>
      <xdr:colOff>22412</xdr:colOff>
      <xdr:row>22</xdr:row>
      <xdr:rowOff>0</xdr:rowOff>
    </xdr:from>
    <xdr:to>
      <xdr:col>5</xdr:col>
      <xdr:colOff>236444</xdr:colOff>
      <xdr:row>22</xdr:row>
      <xdr:rowOff>231456</xdr:rowOff>
    </xdr:to>
    <xdr:sp macro="[0]!alignment" textlink="">
      <xdr:nvSpPr>
        <xdr:cNvPr id="26" name="Rectángulo: esquinas redondeadas 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06A4533-49FC-40D4-8C67-3C344BB8A7B1}"/>
            </a:ext>
          </a:extLst>
        </xdr:cNvPr>
        <xdr:cNvSpPr/>
      </xdr:nvSpPr>
      <xdr:spPr>
        <a:xfrm>
          <a:off x="7205383" y="8617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TypeOfParticipant</a:t>
          </a:r>
        </a:p>
      </xdr:txBody>
    </xdr:sp>
    <xdr:clientData/>
  </xdr:twoCellAnchor>
  <xdr:twoCellAnchor>
    <xdr:from>
      <xdr:col>4</xdr:col>
      <xdr:colOff>22412</xdr:colOff>
      <xdr:row>23</xdr:row>
      <xdr:rowOff>0</xdr:rowOff>
    </xdr:from>
    <xdr:to>
      <xdr:col>5</xdr:col>
      <xdr:colOff>236444</xdr:colOff>
      <xdr:row>23</xdr:row>
      <xdr:rowOff>231456</xdr:rowOff>
    </xdr:to>
    <xdr:sp macro="[0]!alignment" textlink="">
      <xdr:nvSpPr>
        <xdr:cNvPr id="30" name="Rectángulo: esquinas redondeadas 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B3F0E62-7077-40B7-8CB0-BEDDA686E5FC}"/>
            </a:ext>
          </a:extLst>
        </xdr:cNvPr>
        <xdr:cNvSpPr/>
      </xdr:nvSpPr>
      <xdr:spPr>
        <a:xfrm>
          <a:off x="7205383" y="8998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ParticipantXProduct</a:t>
          </a:r>
        </a:p>
      </xdr:txBody>
    </xdr:sp>
    <xdr:clientData/>
  </xdr:twoCellAnchor>
  <xdr:twoCellAnchor>
    <xdr:from>
      <xdr:col>4</xdr:col>
      <xdr:colOff>22412</xdr:colOff>
      <xdr:row>24</xdr:row>
      <xdr:rowOff>0</xdr:rowOff>
    </xdr:from>
    <xdr:to>
      <xdr:col>5</xdr:col>
      <xdr:colOff>236444</xdr:colOff>
      <xdr:row>24</xdr:row>
      <xdr:rowOff>231456</xdr:rowOff>
    </xdr:to>
    <xdr:sp macro="[0]!alignment" textlink="">
      <xdr:nvSpPr>
        <xdr:cNvPr id="33" name="Rectángulo: esquinas redondeadas 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EC61645-B128-4960-B708-A30BE6F4F84C}"/>
            </a:ext>
          </a:extLst>
        </xdr:cNvPr>
        <xdr:cNvSpPr/>
      </xdr:nvSpPr>
      <xdr:spPr>
        <a:xfrm>
          <a:off x="7205383" y="9379324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ParticipantXRelative</a:t>
          </a:r>
        </a:p>
      </xdr:txBody>
    </xdr:sp>
    <xdr:clientData/>
  </xdr:twoCellAnchor>
  <xdr:twoCellAnchor>
    <xdr:from>
      <xdr:col>4</xdr:col>
      <xdr:colOff>22412</xdr:colOff>
      <xdr:row>25</xdr:row>
      <xdr:rowOff>0</xdr:rowOff>
    </xdr:from>
    <xdr:to>
      <xdr:col>5</xdr:col>
      <xdr:colOff>236444</xdr:colOff>
      <xdr:row>25</xdr:row>
      <xdr:rowOff>231456</xdr:rowOff>
    </xdr:to>
    <xdr:sp macro="[0]!alignment" textlink="">
      <xdr:nvSpPr>
        <xdr:cNvPr id="34" name="Rectángulo: esquinas redondeadas 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DBB54E4-BEC6-4BC6-A387-82E088A0C00C}"/>
            </a:ext>
          </a:extLst>
        </xdr:cNvPr>
        <xdr:cNvSpPr/>
      </xdr:nvSpPr>
      <xdr:spPr>
        <a:xfrm>
          <a:off x="7205383" y="9962029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Payment</a:t>
          </a:r>
        </a:p>
      </xdr:txBody>
    </xdr:sp>
    <xdr:clientData/>
  </xdr:twoCellAnchor>
  <xdr:twoCellAnchor>
    <xdr:from>
      <xdr:col>4</xdr:col>
      <xdr:colOff>22412</xdr:colOff>
      <xdr:row>26</xdr:row>
      <xdr:rowOff>0</xdr:rowOff>
    </xdr:from>
    <xdr:to>
      <xdr:col>5</xdr:col>
      <xdr:colOff>236444</xdr:colOff>
      <xdr:row>26</xdr:row>
      <xdr:rowOff>231456</xdr:rowOff>
    </xdr:to>
    <xdr:sp macro="[0]!alignment" textlink="">
      <xdr:nvSpPr>
        <xdr:cNvPr id="35" name="Rectángulo: esquinas redondeadas 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9A5565CF-BA38-4500-9C13-2EE5239E9636}"/>
            </a:ext>
          </a:extLst>
        </xdr:cNvPr>
        <xdr:cNvSpPr/>
      </xdr:nvSpPr>
      <xdr:spPr>
        <a:xfrm>
          <a:off x="7205383" y="10354235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Card</a:t>
          </a:r>
        </a:p>
      </xdr:txBody>
    </xdr:sp>
    <xdr:clientData/>
  </xdr:twoCellAnchor>
  <xdr:twoCellAnchor>
    <xdr:from>
      <xdr:col>4</xdr:col>
      <xdr:colOff>22412</xdr:colOff>
      <xdr:row>27</xdr:row>
      <xdr:rowOff>0</xdr:rowOff>
    </xdr:from>
    <xdr:to>
      <xdr:col>5</xdr:col>
      <xdr:colOff>236444</xdr:colOff>
      <xdr:row>27</xdr:row>
      <xdr:rowOff>231456</xdr:rowOff>
    </xdr:to>
    <xdr:sp macro="[0]!alignment" textlink="">
      <xdr:nvSpPr>
        <xdr:cNvPr id="36" name="Rectángulo: esquinas redondeadas 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4C4D76F-866F-4C9F-9518-7F99CC53E0FD}"/>
            </a:ext>
          </a:extLst>
        </xdr:cNvPr>
        <xdr:cNvSpPr/>
      </xdr:nvSpPr>
      <xdr:spPr>
        <a:xfrm>
          <a:off x="7205383" y="10746441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Wishlist</a:t>
          </a:r>
        </a:p>
      </xdr:txBody>
    </xdr:sp>
    <xdr:clientData/>
  </xdr:twoCellAnchor>
  <xdr:twoCellAnchor>
    <xdr:from>
      <xdr:col>4</xdr:col>
      <xdr:colOff>22412</xdr:colOff>
      <xdr:row>28</xdr:row>
      <xdr:rowOff>0</xdr:rowOff>
    </xdr:from>
    <xdr:to>
      <xdr:col>5</xdr:col>
      <xdr:colOff>236444</xdr:colOff>
      <xdr:row>28</xdr:row>
      <xdr:rowOff>231456</xdr:rowOff>
    </xdr:to>
    <xdr:sp macro="[0]!alignment" textlink="">
      <xdr:nvSpPr>
        <xdr:cNvPr id="37" name="Rectángulo: esquinas redondeadas 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D3A523F-E692-44B8-97FA-313DDBF2DB8F}"/>
            </a:ext>
          </a:extLst>
        </xdr:cNvPr>
        <xdr:cNvSpPr/>
      </xdr:nvSpPr>
      <xdr:spPr>
        <a:xfrm>
          <a:off x="7205383" y="111386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Purchase</a:t>
          </a:r>
        </a:p>
      </xdr:txBody>
    </xdr:sp>
    <xdr:clientData/>
  </xdr:twoCellAnchor>
  <xdr:twoCellAnchor>
    <xdr:from>
      <xdr:col>4</xdr:col>
      <xdr:colOff>22412</xdr:colOff>
      <xdr:row>30</xdr:row>
      <xdr:rowOff>0</xdr:rowOff>
    </xdr:from>
    <xdr:to>
      <xdr:col>5</xdr:col>
      <xdr:colOff>236444</xdr:colOff>
      <xdr:row>30</xdr:row>
      <xdr:rowOff>231456</xdr:rowOff>
    </xdr:to>
    <xdr:sp macro="[0]!alignment" textlink="">
      <xdr:nvSpPr>
        <xdr:cNvPr id="39" name="Rectángulo: esquinas redondeadas 7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C0B6D73-F35C-4886-A787-39488E05FEAB}"/>
            </a:ext>
          </a:extLst>
        </xdr:cNvPr>
        <xdr:cNvSpPr/>
      </xdr:nvSpPr>
      <xdr:spPr>
        <a:xfrm>
          <a:off x="7205383" y="119006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CatalogXProduct</a:t>
          </a:r>
        </a:p>
      </xdr:txBody>
    </xdr:sp>
    <xdr:clientData/>
  </xdr:twoCellAnchor>
  <xdr:twoCellAnchor>
    <xdr:from>
      <xdr:col>4</xdr:col>
      <xdr:colOff>22412</xdr:colOff>
      <xdr:row>31</xdr:row>
      <xdr:rowOff>0</xdr:rowOff>
    </xdr:from>
    <xdr:to>
      <xdr:col>5</xdr:col>
      <xdr:colOff>236444</xdr:colOff>
      <xdr:row>31</xdr:row>
      <xdr:rowOff>231456</xdr:rowOff>
    </xdr:to>
    <xdr:sp macro="[0]!alignment" textlink="">
      <xdr:nvSpPr>
        <xdr:cNvPr id="40" name="Rectángulo: esquinas redondeadas 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7C002E98-D37F-41BC-B7E3-D56F6A8A3C78}"/>
            </a:ext>
          </a:extLst>
        </xdr:cNvPr>
        <xdr:cNvSpPr/>
      </xdr:nvSpPr>
      <xdr:spPr>
        <a:xfrm>
          <a:off x="7205383" y="122816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Platform</a:t>
          </a:r>
        </a:p>
      </xdr:txBody>
    </xdr:sp>
    <xdr:clientData/>
  </xdr:twoCellAnchor>
  <xdr:twoCellAnchor>
    <xdr:from>
      <xdr:col>4</xdr:col>
      <xdr:colOff>22412</xdr:colOff>
      <xdr:row>32</xdr:row>
      <xdr:rowOff>0</xdr:rowOff>
    </xdr:from>
    <xdr:to>
      <xdr:col>5</xdr:col>
      <xdr:colOff>236444</xdr:colOff>
      <xdr:row>32</xdr:row>
      <xdr:rowOff>231456</xdr:rowOff>
    </xdr:to>
    <xdr:sp macro="[0]!alignment" textlink="">
      <xdr:nvSpPr>
        <xdr:cNvPr id="41" name="Rectángulo: esquinas redondeadas 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FF0D90C-0304-4D8E-9BE6-8634E3F80E75}"/>
            </a:ext>
          </a:extLst>
        </xdr:cNvPr>
        <xdr:cNvSpPr/>
      </xdr:nvSpPr>
      <xdr:spPr>
        <a:xfrm>
          <a:off x="7205383" y="126626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ProductXPlatform</a:t>
          </a:r>
        </a:p>
      </xdr:txBody>
    </xdr:sp>
    <xdr:clientData/>
  </xdr:twoCellAnchor>
  <xdr:twoCellAnchor>
    <xdr:from>
      <xdr:col>4</xdr:col>
      <xdr:colOff>22412</xdr:colOff>
      <xdr:row>33</xdr:row>
      <xdr:rowOff>0</xdr:rowOff>
    </xdr:from>
    <xdr:to>
      <xdr:col>5</xdr:col>
      <xdr:colOff>236444</xdr:colOff>
      <xdr:row>33</xdr:row>
      <xdr:rowOff>231456</xdr:rowOff>
    </xdr:to>
    <xdr:sp macro="[0]!alignment" textlink="">
      <xdr:nvSpPr>
        <xdr:cNvPr id="42" name="Rectángulo: esquinas redondeadas 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CBA76ACD-EE66-4CB1-BB33-9F69931C21C9}"/>
            </a:ext>
          </a:extLst>
        </xdr:cNvPr>
        <xdr:cNvSpPr/>
      </xdr:nvSpPr>
      <xdr:spPr>
        <a:xfrm>
          <a:off x="7205383" y="130436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Review</a:t>
          </a:r>
        </a:p>
      </xdr:txBody>
    </xdr:sp>
    <xdr:clientData/>
  </xdr:twoCellAnchor>
  <xdr:twoCellAnchor>
    <xdr:from>
      <xdr:col>4</xdr:col>
      <xdr:colOff>22412</xdr:colOff>
      <xdr:row>34</xdr:row>
      <xdr:rowOff>0</xdr:rowOff>
    </xdr:from>
    <xdr:to>
      <xdr:col>5</xdr:col>
      <xdr:colOff>236444</xdr:colOff>
      <xdr:row>34</xdr:row>
      <xdr:rowOff>231456</xdr:rowOff>
    </xdr:to>
    <xdr:sp macro="[0]!alignment" textlink="">
      <xdr:nvSpPr>
        <xdr:cNvPr id="43" name="Rectángulo: esquinas redondeadas 7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5ACB318E-375C-47B1-9A65-D29E33C98E04}"/>
            </a:ext>
          </a:extLst>
        </xdr:cNvPr>
        <xdr:cNvSpPr/>
      </xdr:nvSpPr>
      <xdr:spPr>
        <a:xfrm>
          <a:off x="7205383" y="134246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Commentary</a:t>
          </a:r>
        </a:p>
      </xdr:txBody>
    </xdr:sp>
    <xdr:clientData/>
  </xdr:twoCellAnchor>
  <xdr:twoCellAnchor>
    <xdr:from>
      <xdr:col>4</xdr:col>
      <xdr:colOff>22412</xdr:colOff>
      <xdr:row>35</xdr:row>
      <xdr:rowOff>0</xdr:rowOff>
    </xdr:from>
    <xdr:to>
      <xdr:col>5</xdr:col>
      <xdr:colOff>236444</xdr:colOff>
      <xdr:row>35</xdr:row>
      <xdr:rowOff>231456</xdr:rowOff>
    </xdr:to>
    <xdr:sp macro="[0]!alignment" textlink="">
      <xdr:nvSpPr>
        <xdr:cNvPr id="44" name="Rectángulo: esquinas redondeadas 7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621B6894-B180-47CE-8282-503EB014DF65}"/>
            </a:ext>
          </a:extLst>
        </xdr:cNvPr>
        <xdr:cNvSpPr/>
      </xdr:nvSpPr>
      <xdr:spPr>
        <a:xfrm>
          <a:off x="7205383" y="138056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UserXProduct</a:t>
          </a:r>
        </a:p>
      </xdr:txBody>
    </xdr:sp>
    <xdr:clientData/>
  </xdr:twoCellAnchor>
  <xdr:twoCellAnchor>
    <xdr:from>
      <xdr:col>4</xdr:col>
      <xdr:colOff>22412</xdr:colOff>
      <xdr:row>36</xdr:row>
      <xdr:rowOff>0</xdr:rowOff>
    </xdr:from>
    <xdr:to>
      <xdr:col>5</xdr:col>
      <xdr:colOff>236444</xdr:colOff>
      <xdr:row>36</xdr:row>
      <xdr:rowOff>231456</xdr:rowOff>
    </xdr:to>
    <xdr:sp macro="[0]!alignment" textlink="">
      <xdr:nvSpPr>
        <xdr:cNvPr id="45" name="Rectángulo: esquinas redondeadas 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6452E63-2F7D-417D-BCA1-9093B37E40AD}"/>
            </a:ext>
          </a:extLst>
        </xdr:cNvPr>
        <xdr:cNvSpPr/>
      </xdr:nvSpPr>
      <xdr:spPr>
        <a:xfrm>
          <a:off x="7205383" y="14377147"/>
          <a:ext cx="1939737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insertUser</a:t>
          </a:r>
        </a:p>
      </xdr:txBody>
    </xdr:sp>
    <xdr:clientData/>
  </xdr:twoCellAnchor>
  <xdr:twoCellAnchor>
    <xdr:from>
      <xdr:col>4</xdr:col>
      <xdr:colOff>22412</xdr:colOff>
      <xdr:row>29</xdr:row>
      <xdr:rowOff>0</xdr:rowOff>
    </xdr:from>
    <xdr:to>
      <xdr:col>5</xdr:col>
      <xdr:colOff>236444</xdr:colOff>
      <xdr:row>29</xdr:row>
      <xdr:rowOff>231456</xdr:rowOff>
    </xdr:to>
    <xdr:sp macro="[0]!alignment" textlink="">
      <xdr:nvSpPr>
        <xdr:cNvPr id="85" name="Rectángulo: esquinas redondeadas 7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C4A5AF5B-F9BD-4580-85CF-350469895CFD}"/>
            </a:ext>
          </a:extLst>
        </xdr:cNvPr>
        <xdr:cNvSpPr/>
      </xdr:nvSpPr>
      <xdr:spPr>
        <a:xfrm>
          <a:off x="7261412" y="11519647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Catalog</a:t>
          </a:r>
        </a:p>
      </xdr:txBody>
    </xdr:sp>
    <xdr:clientData/>
  </xdr:twoCellAnchor>
  <xdr:twoCellAnchor>
    <xdr:from>
      <xdr:col>4</xdr:col>
      <xdr:colOff>22412</xdr:colOff>
      <xdr:row>37</xdr:row>
      <xdr:rowOff>0</xdr:rowOff>
    </xdr:from>
    <xdr:to>
      <xdr:col>5</xdr:col>
      <xdr:colOff>236444</xdr:colOff>
      <xdr:row>37</xdr:row>
      <xdr:rowOff>231456</xdr:rowOff>
    </xdr:to>
    <xdr:sp macro="[0]!alignment" textlink="">
      <xdr:nvSpPr>
        <xdr:cNvPr id="86" name="Rectángulo: esquinas redondeadas 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9ED2394-3652-4F31-B240-D49856264CE0}"/>
            </a:ext>
          </a:extLst>
        </xdr:cNvPr>
        <xdr:cNvSpPr/>
      </xdr:nvSpPr>
      <xdr:spPr>
        <a:xfrm>
          <a:off x="7261412" y="15060706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updateUser</a:t>
          </a:r>
        </a:p>
      </xdr:txBody>
    </xdr:sp>
    <xdr:clientData/>
  </xdr:twoCellAnchor>
  <xdr:twoCellAnchor>
    <xdr:from>
      <xdr:col>4</xdr:col>
      <xdr:colOff>22412</xdr:colOff>
      <xdr:row>41</xdr:row>
      <xdr:rowOff>0</xdr:rowOff>
    </xdr:from>
    <xdr:to>
      <xdr:col>5</xdr:col>
      <xdr:colOff>236444</xdr:colOff>
      <xdr:row>41</xdr:row>
      <xdr:rowOff>231456</xdr:rowOff>
    </xdr:to>
    <xdr:sp macro="[0]!alignment" textlink="">
      <xdr:nvSpPr>
        <xdr:cNvPr id="90" name="Rectángulo: esquinas redondeadas 7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13EEFC2-9043-4EE1-80B4-0F950F32DEAF}"/>
            </a:ext>
          </a:extLst>
        </xdr:cNvPr>
        <xdr:cNvSpPr/>
      </xdr:nvSpPr>
      <xdr:spPr>
        <a:xfrm>
          <a:off x="7261412" y="16629529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updateComment</a:t>
          </a:r>
        </a:p>
      </xdr:txBody>
    </xdr:sp>
    <xdr:clientData/>
  </xdr:twoCellAnchor>
  <xdr:twoCellAnchor>
    <xdr:from>
      <xdr:col>4</xdr:col>
      <xdr:colOff>22412</xdr:colOff>
      <xdr:row>38</xdr:row>
      <xdr:rowOff>0</xdr:rowOff>
    </xdr:from>
    <xdr:to>
      <xdr:col>5</xdr:col>
      <xdr:colOff>236444</xdr:colOff>
      <xdr:row>38</xdr:row>
      <xdr:rowOff>231456</xdr:rowOff>
    </xdr:to>
    <xdr:sp macro="[0]!alignment" textlink="">
      <xdr:nvSpPr>
        <xdr:cNvPr id="91" name="Rectángulo: esquinas redondeadas 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10F1AC8-676C-461E-92DC-D74EFE3644D1}"/>
            </a:ext>
          </a:extLst>
        </xdr:cNvPr>
        <xdr:cNvSpPr/>
      </xdr:nvSpPr>
      <xdr:spPr>
        <a:xfrm>
          <a:off x="7261412" y="15452912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deleteUser</a:t>
          </a:r>
        </a:p>
      </xdr:txBody>
    </xdr:sp>
    <xdr:clientData/>
  </xdr:twoCellAnchor>
  <xdr:twoCellAnchor>
    <xdr:from>
      <xdr:col>4</xdr:col>
      <xdr:colOff>22412</xdr:colOff>
      <xdr:row>39</xdr:row>
      <xdr:rowOff>0</xdr:rowOff>
    </xdr:from>
    <xdr:to>
      <xdr:col>5</xdr:col>
      <xdr:colOff>236444</xdr:colOff>
      <xdr:row>39</xdr:row>
      <xdr:rowOff>231456</xdr:rowOff>
    </xdr:to>
    <xdr:sp macro="[0]!alignment" textlink="">
      <xdr:nvSpPr>
        <xdr:cNvPr id="92" name="Rectángulo: esquinas redondeadas 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19CFC7EE-E4E4-4EB6-B960-002DED516018}"/>
            </a:ext>
          </a:extLst>
        </xdr:cNvPr>
        <xdr:cNvSpPr/>
      </xdr:nvSpPr>
      <xdr:spPr>
        <a:xfrm>
          <a:off x="7261412" y="15845118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buyProduct</a:t>
          </a:r>
        </a:p>
      </xdr:txBody>
    </xdr:sp>
    <xdr:clientData/>
  </xdr:twoCellAnchor>
  <xdr:twoCellAnchor>
    <xdr:from>
      <xdr:col>4</xdr:col>
      <xdr:colOff>22412</xdr:colOff>
      <xdr:row>40</xdr:row>
      <xdr:rowOff>0</xdr:rowOff>
    </xdr:from>
    <xdr:to>
      <xdr:col>5</xdr:col>
      <xdr:colOff>236444</xdr:colOff>
      <xdr:row>40</xdr:row>
      <xdr:rowOff>231456</xdr:rowOff>
    </xdr:to>
    <xdr:sp macro="[0]!alignment" textlink="">
      <xdr:nvSpPr>
        <xdr:cNvPr id="93" name="Rectángulo: esquinas redondeadas 7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2A56F77-A883-4545-8143-043329E1E5E5}"/>
            </a:ext>
          </a:extLst>
        </xdr:cNvPr>
        <xdr:cNvSpPr/>
      </xdr:nvSpPr>
      <xdr:spPr>
        <a:xfrm>
          <a:off x="7261412" y="16237324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commentProduct</a:t>
          </a:r>
        </a:p>
      </xdr:txBody>
    </xdr:sp>
    <xdr:clientData/>
  </xdr:twoCellAnchor>
  <xdr:twoCellAnchor>
    <xdr:from>
      <xdr:col>4</xdr:col>
      <xdr:colOff>22412</xdr:colOff>
      <xdr:row>42</xdr:row>
      <xdr:rowOff>0</xdr:rowOff>
    </xdr:from>
    <xdr:to>
      <xdr:col>5</xdr:col>
      <xdr:colOff>236444</xdr:colOff>
      <xdr:row>42</xdr:row>
      <xdr:rowOff>231456</xdr:rowOff>
    </xdr:to>
    <xdr:sp macro="[0]!alignment" textlink="">
      <xdr:nvSpPr>
        <xdr:cNvPr id="94" name="Rectángulo: esquinas redondeadas 7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91997EC-7C3C-45A8-A4A1-F0139ACF69BA}"/>
            </a:ext>
          </a:extLst>
        </xdr:cNvPr>
        <xdr:cNvSpPr/>
      </xdr:nvSpPr>
      <xdr:spPr>
        <a:xfrm>
          <a:off x="7261412" y="17021735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reviewProduct</a:t>
          </a:r>
        </a:p>
      </xdr:txBody>
    </xdr:sp>
    <xdr:clientData/>
  </xdr:twoCellAnchor>
  <xdr:twoCellAnchor>
    <xdr:from>
      <xdr:col>4</xdr:col>
      <xdr:colOff>22412</xdr:colOff>
      <xdr:row>43</xdr:row>
      <xdr:rowOff>0</xdr:rowOff>
    </xdr:from>
    <xdr:to>
      <xdr:col>5</xdr:col>
      <xdr:colOff>236444</xdr:colOff>
      <xdr:row>43</xdr:row>
      <xdr:rowOff>231456</xdr:rowOff>
    </xdr:to>
    <xdr:sp macro="[0]!alignment" textlink="">
      <xdr:nvSpPr>
        <xdr:cNvPr id="95" name="Rectángulo: esquinas redondeadas 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75284A77-2CCF-40A3-892F-7E9C40B4B012}"/>
            </a:ext>
          </a:extLst>
        </xdr:cNvPr>
        <xdr:cNvSpPr/>
      </xdr:nvSpPr>
      <xdr:spPr>
        <a:xfrm>
          <a:off x="7261412" y="17413941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updateReview</a:t>
          </a:r>
        </a:p>
      </xdr:txBody>
    </xdr:sp>
    <xdr:clientData/>
  </xdr:twoCellAnchor>
  <xdr:twoCellAnchor>
    <xdr:from>
      <xdr:col>6</xdr:col>
      <xdr:colOff>0</xdr:colOff>
      <xdr:row>1</xdr:row>
      <xdr:rowOff>201705</xdr:rowOff>
    </xdr:from>
    <xdr:to>
      <xdr:col>8</xdr:col>
      <xdr:colOff>415738</xdr:colOff>
      <xdr:row>4</xdr:row>
      <xdr:rowOff>280146</xdr:rowOff>
    </xdr:to>
    <xdr:sp macro="[0]!alignment" textlink="">
      <xdr:nvSpPr>
        <xdr:cNvPr id="104" name="Rectángulo: esquinas redondeadas 7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82A96334-EC3E-49B9-99BB-C4CD3A787276}"/>
            </a:ext>
          </a:extLst>
        </xdr:cNvPr>
        <xdr:cNvSpPr/>
      </xdr:nvSpPr>
      <xdr:spPr>
        <a:xfrm>
          <a:off x="9726706" y="403411"/>
          <a:ext cx="1939738" cy="1243853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Dictionary end</a:t>
          </a:r>
        </a:p>
      </xdr:txBody>
    </xdr:sp>
    <xdr:clientData/>
  </xdr:twoCellAnchor>
  <xdr:twoCellAnchor>
    <xdr:from>
      <xdr:col>4</xdr:col>
      <xdr:colOff>22412</xdr:colOff>
      <xdr:row>44</xdr:row>
      <xdr:rowOff>0</xdr:rowOff>
    </xdr:from>
    <xdr:to>
      <xdr:col>5</xdr:col>
      <xdr:colOff>236444</xdr:colOff>
      <xdr:row>44</xdr:row>
      <xdr:rowOff>231456</xdr:rowOff>
    </xdr:to>
    <xdr:sp macro="[1]!alignment" textlink="">
      <xdr:nvSpPr>
        <xdr:cNvPr id="3" name="Rectángulo: esquinas redondeadas 7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68079F06-5AE4-48B4-BC83-F2741A201403}"/>
            </a:ext>
          </a:extLst>
        </xdr:cNvPr>
        <xdr:cNvSpPr/>
      </xdr:nvSpPr>
      <xdr:spPr>
        <a:xfrm>
          <a:off x="7261412" y="17806147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insertFavorite</a:t>
          </a:r>
        </a:p>
      </xdr:txBody>
    </xdr:sp>
    <xdr:clientData/>
  </xdr:twoCellAnchor>
  <xdr:twoCellAnchor>
    <xdr:from>
      <xdr:col>4</xdr:col>
      <xdr:colOff>22412</xdr:colOff>
      <xdr:row>7</xdr:row>
      <xdr:rowOff>89647</xdr:rowOff>
    </xdr:from>
    <xdr:to>
      <xdr:col>5</xdr:col>
      <xdr:colOff>236444</xdr:colOff>
      <xdr:row>7</xdr:row>
      <xdr:rowOff>318247</xdr:rowOff>
    </xdr:to>
    <xdr:sp macro="[1]!alignment" textlink="">
      <xdr:nvSpPr>
        <xdr:cNvPr id="4" name="Rectángulo: esquinas redondeadas 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AF1FE668-4D6E-4589-8D9E-4EB7B99D252A}"/>
            </a:ext>
          </a:extLst>
        </xdr:cNvPr>
        <xdr:cNvSpPr/>
      </xdr:nvSpPr>
      <xdr:spPr>
        <a:xfrm>
          <a:off x="7429500" y="2812676"/>
          <a:ext cx="1939738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City</a:t>
          </a:r>
        </a:p>
      </xdr:txBody>
    </xdr:sp>
    <xdr:clientData/>
  </xdr:twoCellAnchor>
  <xdr:twoCellAnchor>
    <xdr:from>
      <xdr:col>4</xdr:col>
      <xdr:colOff>22412</xdr:colOff>
      <xdr:row>8</xdr:row>
      <xdr:rowOff>0</xdr:rowOff>
    </xdr:from>
    <xdr:to>
      <xdr:col>5</xdr:col>
      <xdr:colOff>236444</xdr:colOff>
      <xdr:row>8</xdr:row>
      <xdr:rowOff>231456</xdr:rowOff>
    </xdr:to>
    <xdr:sp macro="[0]!alignment" textlink="">
      <xdr:nvSpPr>
        <xdr:cNvPr id="5" name="Rectángulo: esquinas redondeadas 7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1EA64C0-D0BA-4DC2-8D6A-D36AC1A82B63}"/>
            </a:ext>
          </a:extLst>
        </xdr:cNvPr>
        <xdr:cNvSpPr/>
      </xdr:nvSpPr>
      <xdr:spPr>
        <a:xfrm>
          <a:off x="7261412" y="2924735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Relative</a:t>
          </a:r>
        </a:p>
      </xdr:txBody>
    </xdr:sp>
    <xdr:clientData/>
  </xdr:twoCellAnchor>
  <xdr:twoCellAnchor>
    <xdr:from>
      <xdr:col>4</xdr:col>
      <xdr:colOff>22412</xdr:colOff>
      <xdr:row>45</xdr:row>
      <xdr:rowOff>0</xdr:rowOff>
    </xdr:from>
    <xdr:to>
      <xdr:col>5</xdr:col>
      <xdr:colOff>236444</xdr:colOff>
      <xdr:row>45</xdr:row>
      <xdr:rowOff>231456</xdr:rowOff>
    </xdr:to>
    <xdr:sp macro="[1]!alignment" textlink="">
      <xdr:nvSpPr>
        <xdr:cNvPr id="7" name="Rectángulo: esquinas redondeadas 7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15728E2F-8468-4AF7-BB60-2FA542873143}"/>
            </a:ext>
          </a:extLst>
        </xdr:cNvPr>
        <xdr:cNvSpPr/>
      </xdr:nvSpPr>
      <xdr:spPr>
        <a:xfrm>
          <a:off x="7261412" y="18198353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getWishList</a:t>
          </a:r>
        </a:p>
      </xdr:txBody>
    </xdr:sp>
    <xdr:clientData/>
  </xdr:twoCellAnchor>
  <xdr:twoCellAnchor>
    <xdr:from>
      <xdr:col>4</xdr:col>
      <xdr:colOff>22412</xdr:colOff>
      <xdr:row>46</xdr:row>
      <xdr:rowOff>0</xdr:rowOff>
    </xdr:from>
    <xdr:to>
      <xdr:col>5</xdr:col>
      <xdr:colOff>236444</xdr:colOff>
      <xdr:row>46</xdr:row>
      <xdr:rowOff>231456</xdr:rowOff>
    </xdr:to>
    <xdr:sp macro="[1]!alignment" textlink="">
      <xdr:nvSpPr>
        <xdr:cNvPr id="10" name="Rectángulo: esquinas redondeadas 7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5F1E7587-1E62-4DEE-BFC2-98ACFA3D57D0}"/>
            </a:ext>
          </a:extLst>
        </xdr:cNvPr>
        <xdr:cNvSpPr/>
      </xdr:nvSpPr>
      <xdr:spPr>
        <a:xfrm>
          <a:off x="7261412" y="18590559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deleteComment</a:t>
          </a:r>
        </a:p>
      </xdr:txBody>
    </xdr:sp>
    <xdr:clientData/>
  </xdr:twoCellAnchor>
  <xdr:twoCellAnchor>
    <xdr:from>
      <xdr:col>4</xdr:col>
      <xdr:colOff>22412</xdr:colOff>
      <xdr:row>47</xdr:row>
      <xdr:rowOff>0</xdr:rowOff>
    </xdr:from>
    <xdr:to>
      <xdr:col>5</xdr:col>
      <xdr:colOff>236444</xdr:colOff>
      <xdr:row>47</xdr:row>
      <xdr:rowOff>231456</xdr:rowOff>
    </xdr:to>
    <xdr:sp macro="[1]!alignment" textlink="">
      <xdr:nvSpPr>
        <xdr:cNvPr id="27" name="Rectángulo: esquinas redondeadas 7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FCFA9B5-2E0C-495E-9B54-2DE3910688D7}"/>
            </a:ext>
          </a:extLst>
        </xdr:cNvPr>
        <xdr:cNvSpPr/>
      </xdr:nvSpPr>
      <xdr:spPr>
        <a:xfrm>
          <a:off x="7261412" y="18982765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deleteReview</a:t>
          </a:r>
        </a:p>
      </xdr:txBody>
    </xdr:sp>
    <xdr:clientData/>
  </xdr:twoCellAnchor>
  <xdr:twoCellAnchor>
    <xdr:from>
      <xdr:col>4</xdr:col>
      <xdr:colOff>22412</xdr:colOff>
      <xdr:row>48</xdr:row>
      <xdr:rowOff>0</xdr:rowOff>
    </xdr:from>
    <xdr:to>
      <xdr:col>5</xdr:col>
      <xdr:colOff>236444</xdr:colOff>
      <xdr:row>48</xdr:row>
      <xdr:rowOff>231456</xdr:rowOff>
    </xdr:to>
    <xdr:sp macro="[1]!alignment" textlink="">
      <xdr:nvSpPr>
        <xdr:cNvPr id="28" name="Rectángulo: esquinas redondeadas 7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19FFF30-96C1-45A3-96F4-7CCAF1833B2E}"/>
            </a:ext>
          </a:extLst>
        </xdr:cNvPr>
        <xdr:cNvSpPr/>
      </xdr:nvSpPr>
      <xdr:spPr>
        <a:xfrm>
          <a:off x="7261412" y="19374971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deleteReview</a:t>
          </a:r>
        </a:p>
      </xdr:txBody>
    </xdr:sp>
    <xdr:clientData/>
  </xdr:twoCellAnchor>
  <xdr:twoCellAnchor>
    <xdr:from>
      <xdr:col>4</xdr:col>
      <xdr:colOff>22412</xdr:colOff>
      <xdr:row>49</xdr:row>
      <xdr:rowOff>0</xdr:rowOff>
    </xdr:from>
    <xdr:to>
      <xdr:col>5</xdr:col>
      <xdr:colOff>236444</xdr:colOff>
      <xdr:row>49</xdr:row>
      <xdr:rowOff>231456</xdr:rowOff>
    </xdr:to>
    <xdr:sp macro="[1]!alignment" textlink="">
      <xdr:nvSpPr>
        <xdr:cNvPr id="29" name="Rectángulo: esquinas redondeadas 7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5C862C28-7995-42FF-A918-21252F087C7B}"/>
            </a:ext>
          </a:extLst>
        </xdr:cNvPr>
        <xdr:cNvSpPr/>
      </xdr:nvSpPr>
      <xdr:spPr>
        <a:xfrm>
          <a:off x="7261412" y="19767176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insertCard</a:t>
          </a:r>
        </a:p>
      </xdr:txBody>
    </xdr:sp>
    <xdr:clientData/>
  </xdr:twoCellAnchor>
  <xdr:twoCellAnchor>
    <xdr:from>
      <xdr:col>4</xdr:col>
      <xdr:colOff>22412</xdr:colOff>
      <xdr:row>50</xdr:row>
      <xdr:rowOff>0</xdr:rowOff>
    </xdr:from>
    <xdr:to>
      <xdr:col>5</xdr:col>
      <xdr:colOff>236444</xdr:colOff>
      <xdr:row>50</xdr:row>
      <xdr:rowOff>231456</xdr:rowOff>
    </xdr:to>
    <xdr:sp macro="[1]!alignment" textlink="">
      <xdr:nvSpPr>
        <xdr:cNvPr id="38" name="Rectángulo: esquinas redondeadas 7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6693077D-4B77-4FBD-AC44-C441AD6480E9}"/>
            </a:ext>
          </a:extLst>
        </xdr:cNvPr>
        <xdr:cNvSpPr/>
      </xdr:nvSpPr>
      <xdr:spPr>
        <a:xfrm>
          <a:off x="7261412" y="20159382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removeCard</a:t>
          </a:r>
        </a:p>
      </xdr:txBody>
    </xdr:sp>
    <xdr:clientData/>
  </xdr:twoCellAnchor>
  <xdr:twoCellAnchor>
    <xdr:from>
      <xdr:col>4</xdr:col>
      <xdr:colOff>22412</xdr:colOff>
      <xdr:row>51</xdr:row>
      <xdr:rowOff>0</xdr:rowOff>
    </xdr:from>
    <xdr:to>
      <xdr:col>5</xdr:col>
      <xdr:colOff>236444</xdr:colOff>
      <xdr:row>51</xdr:row>
      <xdr:rowOff>231456</xdr:rowOff>
    </xdr:to>
    <xdr:sp macro="[1]!alignment" textlink="">
      <xdr:nvSpPr>
        <xdr:cNvPr id="46" name="Rectángulo: esquinas redondeadas 7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A95D39CD-5709-433F-AFC1-B03111A35136}"/>
            </a:ext>
          </a:extLst>
        </xdr:cNvPr>
        <xdr:cNvSpPr/>
      </xdr:nvSpPr>
      <xdr:spPr>
        <a:xfrm>
          <a:off x="7261412" y="20551588"/>
          <a:ext cx="1939738" cy="231456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removeCard</a:t>
          </a:r>
        </a:p>
      </xdr:txBody>
    </xdr:sp>
    <xdr:clientData/>
  </xdr:twoCellAnchor>
  <xdr:twoCellAnchor>
    <xdr:from>
      <xdr:col>4</xdr:col>
      <xdr:colOff>19050</xdr:colOff>
      <xdr:row>52</xdr:row>
      <xdr:rowOff>0</xdr:rowOff>
    </xdr:from>
    <xdr:to>
      <xdr:col>5</xdr:col>
      <xdr:colOff>233082</xdr:colOff>
      <xdr:row>52</xdr:row>
      <xdr:rowOff>229775</xdr:rowOff>
    </xdr:to>
    <xdr:sp macro="[1]!alignment" textlink="">
      <xdr:nvSpPr>
        <xdr:cNvPr id="51" name="Rectángulo: esquinas redondeadas 7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81E93DE7-7053-4E2B-8BCD-BEF11BCE8382}"/>
            </a:ext>
          </a:extLst>
        </xdr:cNvPr>
        <xdr:cNvSpPr/>
      </xdr:nvSpPr>
      <xdr:spPr>
        <a:xfrm>
          <a:off x="7258050" y="20859750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insertParticipant</a:t>
          </a:r>
        </a:p>
      </xdr:txBody>
    </xdr:sp>
    <xdr:clientData/>
  </xdr:twoCellAnchor>
  <xdr:twoCellAnchor>
    <xdr:from>
      <xdr:col>4</xdr:col>
      <xdr:colOff>19050</xdr:colOff>
      <xdr:row>53</xdr:row>
      <xdr:rowOff>0</xdr:rowOff>
    </xdr:from>
    <xdr:to>
      <xdr:col>5</xdr:col>
      <xdr:colOff>233082</xdr:colOff>
      <xdr:row>53</xdr:row>
      <xdr:rowOff>229775</xdr:rowOff>
    </xdr:to>
    <xdr:sp macro="[1]!alignment" textlink="">
      <xdr:nvSpPr>
        <xdr:cNvPr id="52" name="Rectángulo: esquinas redondeadas 7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D7532EF-C370-474B-A83F-7AF017480114}"/>
            </a:ext>
          </a:extLst>
        </xdr:cNvPr>
        <xdr:cNvSpPr/>
      </xdr:nvSpPr>
      <xdr:spPr>
        <a:xfrm>
          <a:off x="7372350" y="21250275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insertRelative</a:t>
          </a:r>
        </a:p>
      </xdr:txBody>
    </xdr:sp>
    <xdr:clientData/>
  </xdr:twoCellAnchor>
  <xdr:twoCellAnchor>
    <xdr:from>
      <xdr:col>4</xdr:col>
      <xdr:colOff>19050</xdr:colOff>
      <xdr:row>54</xdr:row>
      <xdr:rowOff>0</xdr:rowOff>
    </xdr:from>
    <xdr:to>
      <xdr:col>5</xdr:col>
      <xdr:colOff>233082</xdr:colOff>
      <xdr:row>54</xdr:row>
      <xdr:rowOff>229775</xdr:rowOff>
    </xdr:to>
    <xdr:sp macro="[1]!alignment" textlink="">
      <xdr:nvSpPr>
        <xdr:cNvPr id="53" name="Rectángulo: esquinas redondeadas 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1039453B-2BA9-4902-9C37-15699D5B5D30}"/>
            </a:ext>
          </a:extLst>
        </xdr:cNvPr>
        <xdr:cNvSpPr/>
      </xdr:nvSpPr>
      <xdr:spPr>
        <a:xfrm>
          <a:off x="7372350" y="21640800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deleteParticipant</a:t>
          </a:r>
        </a:p>
      </xdr:txBody>
    </xdr:sp>
    <xdr:clientData/>
  </xdr:twoCellAnchor>
  <xdr:twoCellAnchor>
    <xdr:from>
      <xdr:col>4</xdr:col>
      <xdr:colOff>19050</xdr:colOff>
      <xdr:row>55</xdr:row>
      <xdr:rowOff>0</xdr:rowOff>
    </xdr:from>
    <xdr:to>
      <xdr:col>5</xdr:col>
      <xdr:colOff>233082</xdr:colOff>
      <xdr:row>55</xdr:row>
      <xdr:rowOff>229775</xdr:rowOff>
    </xdr:to>
    <xdr:sp macro="[1]!alignment" textlink="">
      <xdr:nvSpPr>
        <xdr:cNvPr id="54" name="Rectángulo: esquinas redondeadas 7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DF19EDE6-87E5-4E56-B586-C4F332132B79}"/>
            </a:ext>
          </a:extLst>
        </xdr:cNvPr>
        <xdr:cNvSpPr/>
      </xdr:nvSpPr>
      <xdr:spPr>
        <a:xfrm>
          <a:off x="7372350" y="22031325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updateParticipant</a:t>
          </a:r>
        </a:p>
      </xdr:txBody>
    </xdr:sp>
    <xdr:clientData/>
  </xdr:twoCellAnchor>
  <xdr:twoCellAnchor>
    <xdr:from>
      <xdr:col>4</xdr:col>
      <xdr:colOff>19050</xdr:colOff>
      <xdr:row>56</xdr:row>
      <xdr:rowOff>0</xdr:rowOff>
    </xdr:from>
    <xdr:to>
      <xdr:col>5</xdr:col>
      <xdr:colOff>233082</xdr:colOff>
      <xdr:row>56</xdr:row>
      <xdr:rowOff>229775</xdr:rowOff>
    </xdr:to>
    <xdr:sp macro="[1]!alignment" textlink="">
      <xdr:nvSpPr>
        <xdr:cNvPr id="55" name="Rectángulo: esquinas redondeadas 7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2FD030F9-6793-4BB3-8ADE-0C94FEEF1D7C}"/>
            </a:ext>
          </a:extLst>
        </xdr:cNvPr>
        <xdr:cNvSpPr/>
      </xdr:nvSpPr>
      <xdr:spPr>
        <a:xfrm>
          <a:off x="7372350" y="22421850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getParticipantInfo</a:t>
          </a:r>
        </a:p>
      </xdr:txBody>
    </xdr:sp>
    <xdr:clientData/>
  </xdr:twoCellAnchor>
  <xdr:twoCellAnchor>
    <xdr:from>
      <xdr:col>4</xdr:col>
      <xdr:colOff>19050</xdr:colOff>
      <xdr:row>57</xdr:row>
      <xdr:rowOff>0</xdr:rowOff>
    </xdr:from>
    <xdr:to>
      <xdr:col>5</xdr:col>
      <xdr:colOff>233082</xdr:colOff>
      <xdr:row>57</xdr:row>
      <xdr:rowOff>229775</xdr:rowOff>
    </xdr:to>
    <xdr:sp macro="[1]!alignment" textlink="">
      <xdr:nvSpPr>
        <xdr:cNvPr id="56" name="Rectángulo: esquinas redondeadas 7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BE5E6153-04EA-4CE8-BA83-F367347B31A5}"/>
            </a:ext>
          </a:extLst>
        </xdr:cNvPr>
        <xdr:cNvSpPr/>
      </xdr:nvSpPr>
      <xdr:spPr>
        <a:xfrm>
          <a:off x="7372350" y="22812375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getParticipantNat</a:t>
          </a:r>
        </a:p>
      </xdr:txBody>
    </xdr:sp>
    <xdr:clientData/>
  </xdr:twoCellAnchor>
  <xdr:twoCellAnchor>
    <xdr:from>
      <xdr:col>4</xdr:col>
      <xdr:colOff>19050</xdr:colOff>
      <xdr:row>58</xdr:row>
      <xdr:rowOff>0</xdr:rowOff>
    </xdr:from>
    <xdr:to>
      <xdr:col>5</xdr:col>
      <xdr:colOff>233082</xdr:colOff>
      <xdr:row>58</xdr:row>
      <xdr:rowOff>229775</xdr:rowOff>
    </xdr:to>
    <xdr:sp macro="[1]!alignment" textlink="">
      <xdr:nvSpPr>
        <xdr:cNvPr id="57" name="Rectángulo: esquinas redondeadas 7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44F9BD48-CE75-401C-8E05-82B25E5D5385}"/>
            </a:ext>
          </a:extLst>
        </xdr:cNvPr>
        <xdr:cNvSpPr/>
      </xdr:nvSpPr>
      <xdr:spPr>
        <a:xfrm>
          <a:off x="7372350" y="23202900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getInfoParticipants</a:t>
          </a:r>
        </a:p>
      </xdr:txBody>
    </xdr:sp>
    <xdr:clientData/>
  </xdr:twoCellAnchor>
  <xdr:twoCellAnchor>
    <xdr:from>
      <xdr:col>4</xdr:col>
      <xdr:colOff>19050</xdr:colOff>
      <xdr:row>59</xdr:row>
      <xdr:rowOff>0</xdr:rowOff>
    </xdr:from>
    <xdr:to>
      <xdr:col>5</xdr:col>
      <xdr:colOff>233082</xdr:colOff>
      <xdr:row>59</xdr:row>
      <xdr:rowOff>229775</xdr:rowOff>
    </xdr:to>
    <xdr:sp macro="[1]!alignment" textlink="">
      <xdr:nvSpPr>
        <xdr:cNvPr id="58" name="Rectángulo: esquinas redondeadas 7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F64FC837-67A4-4E68-9E3B-28F30D1ADAE9}"/>
            </a:ext>
          </a:extLst>
        </xdr:cNvPr>
        <xdr:cNvSpPr/>
      </xdr:nvSpPr>
      <xdr:spPr>
        <a:xfrm>
          <a:off x="7372350" y="23593425"/>
          <a:ext cx="1938057" cy="2297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getParticipantRelatives</a:t>
          </a:r>
        </a:p>
      </xdr:txBody>
    </xdr:sp>
    <xdr:clientData/>
  </xdr:twoCellAnchor>
  <xdr:twoCellAnchor>
    <xdr:from>
      <xdr:col>4</xdr:col>
      <xdr:colOff>9525</xdr:colOff>
      <xdr:row>60</xdr:row>
      <xdr:rowOff>95251</xdr:rowOff>
    </xdr:from>
    <xdr:to>
      <xdr:col>5</xdr:col>
      <xdr:colOff>223557</xdr:colOff>
      <xdr:row>60</xdr:row>
      <xdr:rowOff>323851</xdr:rowOff>
    </xdr:to>
    <xdr:sp macro="[1]!alignment" textlink="">
      <xdr:nvSpPr>
        <xdr:cNvPr id="59" name="Rectángulo: esquinas redondeadas 7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3BD24BA8-ACBA-4A11-9BB8-ADFC20FD68F2}"/>
            </a:ext>
          </a:extLst>
        </xdr:cNvPr>
        <xdr:cNvSpPr/>
      </xdr:nvSpPr>
      <xdr:spPr>
        <a:xfrm>
          <a:off x="7362825" y="24079201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insertPerson</a:t>
          </a:r>
        </a:p>
      </xdr:txBody>
    </xdr:sp>
    <xdr:clientData/>
  </xdr:twoCellAnchor>
  <xdr:twoCellAnchor>
    <xdr:from>
      <xdr:col>4</xdr:col>
      <xdr:colOff>0</xdr:colOff>
      <xdr:row>61</xdr:row>
      <xdr:rowOff>114301</xdr:rowOff>
    </xdr:from>
    <xdr:to>
      <xdr:col>5</xdr:col>
      <xdr:colOff>214032</xdr:colOff>
      <xdr:row>61</xdr:row>
      <xdr:rowOff>342901</xdr:rowOff>
    </xdr:to>
    <xdr:sp macro="[1]!alignment" textlink="">
      <xdr:nvSpPr>
        <xdr:cNvPr id="6" name="Rectángulo: esquinas redondeadas 7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F8D6E68E-1144-4337-8F2F-E44713EAD759}"/>
            </a:ext>
          </a:extLst>
        </xdr:cNvPr>
        <xdr:cNvSpPr/>
      </xdr:nvSpPr>
      <xdr:spPr>
        <a:xfrm>
          <a:off x="7353300" y="24488776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insertSystemUser</a:t>
          </a:r>
        </a:p>
      </xdr:txBody>
    </xdr:sp>
    <xdr:clientData/>
  </xdr:twoCellAnchor>
  <xdr:twoCellAnchor>
    <xdr:from>
      <xdr:col>4</xdr:col>
      <xdr:colOff>0</xdr:colOff>
      <xdr:row>62</xdr:row>
      <xdr:rowOff>19050</xdr:rowOff>
    </xdr:from>
    <xdr:to>
      <xdr:col>5</xdr:col>
      <xdr:colOff>214032</xdr:colOff>
      <xdr:row>62</xdr:row>
      <xdr:rowOff>228600</xdr:rowOff>
    </xdr:to>
    <xdr:sp macro="[1]!alignment" textlink="">
      <xdr:nvSpPr>
        <xdr:cNvPr id="12" name="Rectángulo: esquinas redondeadas 7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2FC29827-70AA-4006-AA46-F8513947593F}"/>
            </a:ext>
          </a:extLst>
        </xdr:cNvPr>
        <xdr:cNvSpPr/>
      </xdr:nvSpPr>
      <xdr:spPr>
        <a:xfrm>
          <a:off x="7353300" y="24784050"/>
          <a:ext cx="1938057" cy="2095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insertSex</a:t>
          </a:r>
        </a:p>
      </xdr:txBody>
    </xdr:sp>
    <xdr:clientData/>
  </xdr:twoCellAnchor>
  <xdr:twoCellAnchor>
    <xdr:from>
      <xdr:col>4</xdr:col>
      <xdr:colOff>19050</xdr:colOff>
      <xdr:row>63</xdr:row>
      <xdr:rowOff>47625</xdr:rowOff>
    </xdr:from>
    <xdr:to>
      <xdr:col>5</xdr:col>
      <xdr:colOff>233082</xdr:colOff>
      <xdr:row>63</xdr:row>
      <xdr:rowOff>238125</xdr:rowOff>
    </xdr:to>
    <xdr:sp macro="[1]!alignment" textlink="">
      <xdr:nvSpPr>
        <xdr:cNvPr id="48" name="Rectángulo: esquinas redondeadas 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9DDC6470-6176-44E3-8150-A34C03583CF5}"/>
            </a:ext>
          </a:extLst>
        </xdr:cNvPr>
        <xdr:cNvSpPr/>
      </xdr:nvSpPr>
      <xdr:spPr>
        <a:xfrm>
          <a:off x="7372350" y="25060275"/>
          <a:ext cx="1938057" cy="1905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insertNationality</a:t>
          </a:r>
        </a:p>
      </xdr:txBody>
    </xdr:sp>
    <xdr:clientData/>
  </xdr:twoCellAnchor>
  <xdr:twoCellAnchor>
    <xdr:from>
      <xdr:col>4</xdr:col>
      <xdr:colOff>9525</xdr:colOff>
      <xdr:row>64</xdr:row>
      <xdr:rowOff>38100</xdr:rowOff>
    </xdr:from>
    <xdr:to>
      <xdr:col>5</xdr:col>
      <xdr:colOff>223557</xdr:colOff>
      <xdr:row>64</xdr:row>
      <xdr:rowOff>238125</xdr:rowOff>
    </xdr:to>
    <xdr:sp macro="[1]!alignment" textlink="">
      <xdr:nvSpPr>
        <xdr:cNvPr id="60" name="Rectángulo: esquinas redondeadas 7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1B7C1FC7-12D9-41EE-8C87-E571153F1372}"/>
            </a:ext>
          </a:extLst>
        </xdr:cNvPr>
        <xdr:cNvSpPr/>
      </xdr:nvSpPr>
      <xdr:spPr>
        <a:xfrm>
          <a:off x="7362825" y="25317450"/>
          <a:ext cx="1938057" cy="2000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insertNationalityPerson</a:t>
          </a:r>
        </a:p>
      </xdr:txBody>
    </xdr:sp>
    <xdr:clientData/>
  </xdr:twoCellAnchor>
  <xdr:twoCellAnchor>
    <xdr:from>
      <xdr:col>4</xdr:col>
      <xdr:colOff>19050</xdr:colOff>
      <xdr:row>65</xdr:row>
      <xdr:rowOff>38100</xdr:rowOff>
    </xdr:from>
    <xdr:to>
      <xdr:col>5</xdr:col>
      <xdr:colOff>233082</xdr:colOff>
      <xdr:row>66</xdr:row>
      <xdr:rowOff>9525</xdr:rowOff>
    </xdr:to>
    <xdr:sp macro="[1]!alignment" textlink="">
      <xdr:nvSpPr>
        <xdr:cNvPr id="63" name="Rectángulo: esquinas redondeadas 7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E77315CF-D161-4B6E-8AB6-F6EB059541B7}"/>
            </a:ext>
          </a:extLst>
        </xdr:cNvPr>
        <xdr:cNvSpPr/>
      </xdr:nvSpPr>
      <xdr:spPr>
        <a:xfrm>
          <a:off x="7372350" y="25584150"/>
          <a:ext cx="1938057" cy="238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insertTypeIdent</a:t>
          </a:r>
        </a:p>
      </xdr:txBody>
    </xdr:sp>
    <xdr:clientData/>
  </xdr:twoCellAnchor>
  <xdr:twoCellAnchor>
    <xdr:from>
      <xdr:col>4</xdr:col>
      <xdr:colOff>9525</xdr:colOff>
      <xdr:row>66</xdr:row>
      <xdr:rowOff>85725</xdr:rowOff>
    </xdr:from>
    <xdr:to>
      <xdr:col>5</xdr:col>
      <xdr:colOff>223557</xdr:colOff>
      <xdr:row>67</xdr:row>
      <xdr:rowOff>9525</xdr:rowOff>
    </xdr:to>
    <xdr:sp macro="[1]!alignment" textlink="">
      <xdr:nvSpPr>
        <xdr:cNvPr id="66" name="Rectángulo: esquinas redondeadas 7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192D0BAB-8F5B-494F-8B03-58DA8B2C8865}"/>
            </a:ext>
          </a:extLst>
        </xdr:cNvPr>
        <xdr:cNvSpPr/>
      </xdr:nvSpPr>
      <xdr:spPr>
        <a:xfrm>
          <a:off x="7362825" y="25898475"/>
          <a:ext cx="1938057" cy="1905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insertCountry</a:t>
          </a:r>
        </a:p>
      </xdr:txBody>
    </xdr:sp>
    <xdr:clientData/>
  </xdr:twoCellAnchor>
  <xdr:twoCellAnchor>
    <xdr:from>
      <xdr:col>4</xdr:col>
      <xdr:colOff>0</xdr:colOff>
      <xdr:row>67</xdr:row>
      <xdr:rowOff>85726</xdr:rowOff>
    </xdr:from>
    <xdr:to>
      <xdr:col>5</xdr:col>
      <xdr:colOff>214032</xdr:colOff>
      <xdr:row>67</xdr:row>
      <xdr:rowOff>295276</xdr:rowOff>
    </xdr:to>
    <xdr:sp macro="[1]!alignment" textlink="">
      <xdr:nvSpPr>
        <xdr:cNvPr id="69" name="Rectángulo: esquinas redondeadas 7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A2815306-2EBF-46E0-918C-D5260D3D55B2}"/>
            </a:ext>
          </a:extLst>
        </xdr:cNvPr>
        <xdr:cNvSpPr/>
      </xdr:nvSpPr>
      <xdr:spPr>
        <a:xfrm>
          <a:off x="7353300" y="26165176"/>
          <a:ext cx="1938057" cy="2095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insertCity</a:t>
          </a:r>
        </a:p>
      </xdr:txBody>
    </xdr:sp>
    <xdr:clientData/>
  </xdr:twoCellAnchor>
  <xdr:twoCellAnchor>
    <xdr:from>
      <xdr:col>4</xdr:col>
      <xdr:colOff>19050</xdr:colOff>
      <xdr:row>68</xdr:row>
      <xdr:rowOff>28574</xdr:rowOff>
    </xdr:from>
    <xdr:to>
      <xdr:col>5</xdr:col>
      <xdr:colOff>233082</xdr:colOff>
      <xdr:row>68</xdr:row>
      <xdr:rowOff>257174</xdr:rowOff>
    </xdr:to>
    <xdr:sp macro="[1]!alignment" textlink="">
      <xdr:nvSpPr>
        <xdr:cNvPr id="72" name="Rectángulo: esquinas redondeadas 7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FC6695D-4F28-45C4-B00E-7DC8A20C4380}"/>
            </a:ext>
          </a:extLst>
        </xdr:cNvPr>
        <xdr:cNvSpPr/>
      </xdr:nvSpPr>
      <xdr:spPr>
        <a:xfrm>
          <a:off x="7372350" y="26498549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insertTypeParticipant</a:t>
          </a:r>
        </a:p>
      </xdr:txBody>
    </xdr:sp>
    <xdr:clientData/>
  </xdr:twoCellAnchor>
  <xdr:twoCellAnchor>
    <xdr:from>
      <xdr:col>4</xdr:col>
      <xdr:colOff>19050</xdr:colOff>
      <xdr:row>69</xdr:row>
      <xdr:rowOff>38099</xdr:rowOff>
    </xdr:from>
    <xdr:to>
      <xdr:col>5</xdr:col>
      <xdr:colOff>233082</xdr:colOff>
      <xdr:row>69</xdr:row>
      <xdr:rowOff>266699</xdr:rowOff>
    </xdr:to>
    <xdr:sp macro="[1]!alignment" textlink="">
      <xdr:nvSpPr>
        <xdr:cNvPr id="75" name="Rectángulo: esquinas redondeadas 7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AF3A853C-817F-48B1-8123-B8096A1A278F}"/>
            </a:ext>
          </a:extLst>
        </xdr:cNvPr>
        <xdr:cNvSpPr/>
      </xdr:nvSpPr>
      <xdr:spPr>
        <a:xfrm>
          <a:off x="7372350" y="26774774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insertCatalog</a:t>
          </a:r>
        </a:p>
      </xdr:txBody>
    </xdr:sp>
    <xdr:clientData/>
  </xdr:twoCellAnchor>
  <xdr:twoCellAnchor>
    <xdr:from>
      <xdr:col>4</xdr:col>
      <xdr:colOff>9525</xdr:colOff>
      <xdr:row>70</xdr:row>
      <xdr:rowOff>85724</xdr:rowOff>
    </xdr:from>
    <xdr:to>
      <xdr:col>5</xdr:col>
      <xdr:colOff>223557</xdr:colOff>
      <xdr:row>70</xdr:row>
      <xdr:rowOff>314324</xdr:rowOff>
    </xdr:to>
    <xdr:sp macro="[1]!alignment" textlink="">
      <xdr:nvSpPr>
        <xdr:cNvPr id="78" name="Rectángulo: esquinas redondeadas 7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80DC0627-D257-4B26-9409-552EDB7C8766}"/>
            </a:ext>
          </a:extLst>
        </xdr:cNvPr>
        <xdr:cNvSpPr/>
      </xdr:nvSpPr>
      <xdr:spPr>
        <a:xfrm>
          <a:off x="7362825" y="27089099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insertTypeProduct</a:t>
          </a:r>
        </a:p>
      </xdr:txBody>
    </xdr:sp>
    <xdr:clientData/>
  </xdr:twoCellAnchor>
  <xdr:twoCellAnchor>
    <xdr:from>
      <xdr:col>4</xdr:col>
      <xdr:colOff>19050</xdr:colOff>
      <xdr:row>71</xdr:row>
      <xdr:rowOff>19051</xdr:rowOff>
    </xdr:from>
    <xdr:to>
      <xdr:col>5</xdr:col>
      <xdr:colOff>233082</xdr:colOff>
      <xdr:row>71</xdr:row>
      <xdr:rowOff>247651</xdr:rowOff>
    </xdr:to>
    <xdr:sp macro="[1]!alignment" textlink="">
      <xdr:nvSpPr>
        <xdr:cNvPr id="81" name="Rectángulo: esquinas redondeadas 7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2D09EC3E-252C-40DF-B192-CC6517F1B14E}"/>
            </a:ext>
          </a:extLst>
        </xdr:cNvPr>
        <xdr:cNvSpPr/>
      </xdr:nvSpPr>
      <xdr:spPr>
        <a:xfrm>
          <a:off x="7372350" y="27412951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insertPlatform</a:t>
          </a:r>
        </a:p>
      </xdr:txBody>
    </xdr:sp>
    <xdr:clientData/>
  </xdr:twoCellAnchor>
  <xdr:twoCellAnchor>
    <xdr:from>
      <xdr:col>4</xdr:col>
      <xdr:colOff>19050</xdr:colOff>
      <xdr:row>72</xdr:row>
      <xdr:rowOff>95251</xdr:rowOff>
    </xdr:from>
    <xdr:to>
      <xdr:col>5</xdr:col>
      <xdr:colOff>233082</xdr:colOff>
      <xdr:row>72</xdr:row>
      <xdr:rowOff>323851</xdr:rowOff>
    </xdr:to>
    <xdr:sp macro="[1]!alignment" textlink="">
      <xdr:nvSpPr>
        <xdr:cNvPr id="84" name="Rectángulo: esquinas redondeadas 7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4A309D1A-50B9-4DED-A55E-BD8E9D93ECB3}"/>
            </a:ext>
          </a:extLst>
        </xdr:cNvPr>
        <xdr:cNvSpPr/>
      </xdr:nvSpPr>
      <xdr:spPr>
        <a:xfrm>
          <a:off x="7372350" y="27755851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getSystemUserInfo</a:t>
          </a:r>
        </a:p>
      </xdr:txBody>
    </xdr:sp>
    <xdr:clientData/>
  </xdr:twoCellAnchor>
  <xdr:twoCellAnchor>
    <xdr:from>
      <xdr:col>4</xdr:col>
      <xdr:colOff>19050</xdr:colOff>
      <xdr:row>73</xdr:row>
      <xdr:rowOff>28575</xdr:rowOff>
    </xdr:from>
    <xdr:to>
      <xdr:col>5</xdr:col>
      <xdr:colOff>233082</xdr:colOff>
      <xdr:row>73</xdr:row>
      <xdr:rowOff>257175</xdr:rowOff>
    </xdr:to>
    <xdr:sp macro="[1]!alignment" textlink="">
      <xdr:nvSpPr>
        <xdr:cNvPr id="89" name="Rectángulo: esquinas redondeadas 7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131AFEAF-4DF4-4B8A-9FED-D43C675B2A83}"/>
            </a:ext>
          </a:extLst>
        </xdr:cNvPr>
        <xdr:cNvSpPr/>
      </xdr:nvSpPr>
      <xdr:spPr>
        <a:xfrm>
          <a:off x="7372350" y="280797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validateRegister</a:t>
          </a:r>
        </a:p>
      </xdr:txBody>
    </xdr:sp>
    <xdr:clientData/>
  </xdr:twoCellAnchor>
  <xdr:twoCellAnchor>
    <xdr:from>
      <xdr:col>4</xdr:col>
      <xdr:colOff>9525</xdr:colOff>
      <xdr:row>74</xdr:row>
      <xdr:rowOff>28575</xdr:rowOff>
    </xdr:from>
    <xdr:to>
      <xdr:col>5</xdr:col>
      <xdr:colOff>223557</xdr:colOff>
      <xdr:row>74</xdr:row>
      <xdr:rowOff>257175</xdr:rowOff>
    </xdr:to>
    <xdr:sp macro="[1]!alignment" textlink="">
      <xdr:nvSpPr>
        <xdr:cNvPr id="98" name="Rectángulo: esquinas redondeadas 7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38F0DD3C-8E64-4F0F-8E5A-16DF64039BC3}"/>
            </a:ext>
          </a:extLst>
        </xdr:cNvPr>
        <xdr:cNvSpPr/>
      </xdr:nvSpPr>
      <xdr:spPr>
        <a:xfrm>
          <a:off x="7362825" y="283464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getNationality</a:t>
          </a:r>
        </a:p>
      </xdr:txBody>
    </xdr:sp>
    <xdr:clientData/>
  </xdr:twoCellAnchor>
  <xdr:twoCellAnchor>
    <xdr:from>
      <xdr:col>4</xdr:col>
      <xdr:colOff>0</xdr:colOff>
      <xdr:row>75</xdr:row>
      <xdr:rowOff>38098</xdr:rowOff>
    </xdr:from>
    <xdr:to>
      <xdr:col>5</xdr:col>
      <xdr:colOff>214032</xdr:colOff>
      <xdr:row>75</xdr:row>
      <xdr:rowOff>266698</xdr:rowOff>
    </xdr:to>
    <xdr:sp macro="[1]!alignment" textlink="">
      <xdr:nvSpPr>
        <xdr:cNvPr id="108" name="Rectángulo: esquinas redondeadas 7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AB9EA255-CB42-4869-877F-7ADEE099726F}"/>
            </a:ext>
          </a:extLst>
        </xdr:cNvPr>
        <xdr:cNvSpPr/>
      </xdr:nvSpPr>
      <xdr:spPr>
        <a:xfrm>
          <a:off x="7353300" y="28622623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insertBinnacle</a:t>
          </a:r>
        </a:p>
      </xdr:txBody>
    </xdr:sp>
    <xdr:clientData/>
  </xdr:twoCellAnchor>
  <xdr:twoCellAnchor>
    <xdr:from>
      <xdr:col>4</xdr:col>
      <xdr:colOff>9525</xdr:colOff>
      <xdr:row>76</xdr:row>
      <xdr:rowOff>38100</xdr:rowOff>
    </xdr:from>
    <xdr:to>
      <xdr:col>5</xdr:col>
      <xdr:colOff>223557</xdr:colOff>
      <xdr:row>77</xdr:row>
      <xdr:rowOff>0</xdr:rowOff>
    </xdr:to>
    <xdr:sp macro="[1]!alignment" textlink="">
      <xdr:nvSpPr>
        <xdr:cNvPr id="111" name="Rectángulo: esquinas redondeadas 7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4A640DE-5BE7-40AA-A73E-C103FFD80D9C}"/>
            </a:ext>
          </a:extLst>
        </xdr:cNvPr>
        <xdr:cNvSpPr/>
      </xdr:nvSpPr>
      <xdr:spPr>
        <a:xfrm>
          <a:off x="7362825" y="28889325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getInfoInsertParticipant</a:t>
          </a:r>
        </a:p>
      </xdr:txBody>
    </xdr:sp>
    <xdr:clientData/>
  </xdr:twoCellAnchor>
  <xdr:twoCellAnchor>
    <xdr:from>
      <xdr:col>4</xdr:col>
      <xdr:colOff>19050</xdr:colOff>
      <xdr:row>77</xdr:row>
      <xdr:rowOff>47624</xdr:rowOff>
    </xdr:from>
    <xdr:to>
      <xdr:col>5</xdr:col>
      <xdr:colOff>233082</xdr:colOff>
      <xdr:row>78</xdr:row>
      <xdr:rowOff>9524</xdr:rowOff>
    </xdr:to>
    <xdr:sp macro="[1]!alignment" textlink="">
      <xdr:nvSpPr>
        <xdr:cNvPr id="114" name="Rectángulo: esquinas redondeadas 7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00424C92-E6A1-4056-B890-ABB3504FBFB4}"/>
            </a:ext>
          </a:extLst>
        </xdr:cNvPr>
        <xdr:cNvSpPr/>
      </xdr:nvSpPr>
      <xdr:spPr>
        <a:xfrm>
          <a:off x="7372350" y="29165549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getCountries</a:t>
          </a:r>
        </a:p>
      </xdr:txBody>
    </xdr:sp>
    <xdr:clientData/>
  </xdr:twoCellAnchor>
  <xdr:twoCellAnchor>
    <xdr:from>
      <xdr:col>4</xdr:col>
      <xdr:colOff>19050</xdr:colOff>
      <xdr:row>78</xdr:row>
      <xdr:rowOff>38100</xdr:rowOff>
    </xdr:from>
    <xdr:to>
      <xdr:col>5</xdr:col>
      <xdr:colOff>233082</xdr:colOff>
      <xdr:row>79</xdr:row>
      <xdr:rowOff>0</xdr:rowOff>
    </xdr:to>
    <xdr:sp macro="[1]!alignment" textlink="">
      <xdr:nvSpPr>
        <xdr:cNvPr id="117" name="Rectángulo: esquinas redondeadas 7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A742194-F4D6-41DE-A1D7-9CD20163E1D0}"/>
            </a:ext>
          </a:extLst>
        </xdr:cNvPr>
        <xdr:cNvSpPr/>
      </xdr:nvSpPr>
      <xdr:spPr>
        <a:xfrm>
          <a:off x="7372350" y="29422725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getCities</a:t>
          </a:r>
        </a:p>
      </xdr:txBody>
    </xdr:sp>
    <xdr:clientData/>
  </xdr:twoCellAnchor>
  <xdr:twoCellAnchor>
    <xdr:from>
      <xdr:col>4</xdr:col>
      <xdr:colOff>0</xdr:colOff>
      <xdr:row>79</xdr:row>
      <xdr:rowOff>28575</xdr:rowOff>
    </xdr:from>
    <xdr:to>
      <xdr:col>5</xdr:col>
      <xdr:colOff>214032</xdr:colOff>
      <xdr:row>79</xdr:row>
      <xdr:rowOff>257175</xdr:rowOff>
    </xdr:to>
    <xdr:sp macro="[1]!alignment" textlink="">
      <xdr:nvSpPr>
        <xdr:cNvPr id="122" name="Rectángulo: esquinas redondeadas 7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E1300907-DA7A-4FEB-BFB0-E11F822DF929}"/>
            </a:ext>
          </a:extLst>
        </xdr:cNvPr>
        <xdr:cNvSpPr/>
      </xdr:nvSpPr>
      <xdr:spPr>
        <a:xfrm>
          <a:off x="7353300" y="296799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getTypesIdents</a:t>
          </a:r>
        </a:p>
      </xdr:txBody>
    </xdr:sp>
    <xdr:clientData/>
  </xdr:twoCellAnchor>
  <xdr:twoCellAnchor>
    <xdr:from>
      <xdr:col>4</xdr:col>
      <xdr:colOff>19050</xdr:colOff>
      <xdr:row>80</xdr:row>
      <xdr:rowOff>28575</xdr:rowOff>
    </xdr:from>
    <xdr:to>
      <xdr:col>5</xdr:col>
      <xdr:colOff>233082</xdr:colOff>
      <xdr:row>80</xdr:row>
      <xdr:rowOff>257175</xdr:rowOff>
    </xdr:to>
    <xdr:sp macro="[1]!alignment" textlink="B81">
      <xdr:nvSpPr>
        <xdr:cNvPr id="124" name="Rectángulo: esquinas redondeadas 7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1DE94B89-3C20-4E3A-B6EF-112ADB3D2858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9896BA0-FA64-40B6-AB0E-4326773710A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getCatalogs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81</xdr:row>
      <xdr:rowOff>28575</xdr:rowOff>
    </xdr:from>
    <xdr:to>
      <xdr:col>5</xdr:col>
      <xdr:colOff>233082</xdr:colOff>
      <xdr:row>81</xdr:row>
      <xdr:rowOff>257175</xdr:rowOff>
    </xdr:to>
    <xdr:sp macro="[1]!alignment" textlink="B82">
      <xdr:nvSpPr>
        <xdr:cNvPr id="11" name="Rectángulo: esquinas redondeadas 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ABC661AF-B427-4C17-ABB9-C970AF7A9A4A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9BE771-F6A0-4C1C-AB04-2ECBBBD9A459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getTypesProducts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82</xdr:row>
      <xdr:rowOff>28575</xdr:rowOff>
    </xdr:from>
    <xdr:to>
      <xdr:col>5</xdr:col>
      <xdr:colOff>233082</xdr:colOff>
      <xdr:row>82</xdr:row>
      <xdr:rowOff>257175</xdr:rowOff>
    </xdr:to>
    <xdr:sp macro="[1]!alignment" textlink="B83">
      <xdr:nvSpPr>
        <xdr:cNvPr id="61" name="Rectángulo: esquinas redondeadas 7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974F9C73-09D2-4C3C-AC3E-F29CCAC6335E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760E1C-89B7-454F-818C-DF83B1E461FE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getTypesParticipant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83</xdr:row>
      <xdr:rowOff>28575</xdr:rowOff>
    </xdr:from>
    <xdr:to>
      <xdr:col>5</xdr:col>
      <xdr:colOff>233082</xdr:colOff>
      <xdr:row>83</xdr:row>
      <xdr:rowOff>257175</xdr:rowOff>
    </xdr:to>
    <xdr:sp macro="[1]!alignment" textlink="B84">
      <xdr:nvSpPr>
        <xdr:cNvPr id="62" name="Rectángulo: esquinas redondeadas 7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010603BC-933A-40B1-9701-B15E1F0E8AF0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E8EBD85-827F-4E59-BE81-837F9BCEB146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getPlatforms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84</xdr:row>
      <xdr:rowOff>28575</xdr:rowOff>
    </xdr:from>
    <xdr:to>
      <xdr:col>5</xdr:col>
      <xdr:colOff>233082</xdr:colOff>
      <xdr:row>84</xdr:row>
      <xdr:rowOff>257175</xdr:rowOff>
    </xdr:to>
    <xdr:sp macro="[1]!alignment" textlink="B85">
      <xdr:nvSpPr>
        <xdr:cNvPr id="67" name="Rectángulo: esquinas redondeadas 7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8BEF6FD8-21A0-4A86-9290-F7B2AE358750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BDF8FE-26C2-4417-9860-46543BD99DC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getSexs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85</xdr:row>
      <xdr:rowOff>28575</xdr:rowOff>
    </xdr:from>
    <xdr:to>
      <xdr:col>5</xdr:col>
      <xdr:colOff>233082</xdr:colOff>
      <xdr:row>85</xdr:row>
      <xdr:rowOff>257175</xdr:rowOff>
    </xdr:to>
    <xdr:sp macro="[1]!alignment" textlink="B86">
      <xdr:nvSpPr>
        <xdr:cNvPr id="68" name="Rectángulo: esquinas redondeadas 7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ACE1FE11-68C6-4FF2-8F2F-60A986A9962A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7D1902-F506-4242-A9E3-F4B84F1A25B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setNationality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86</xdr:row>
      <xdr:rowOff>28575</xdr:rowOff>
    </xdr:from>
    <xdr:to>
      <xdr:col>5</xdr:col>
      <xdr:colOff>233082</xdr:colOff>
      <xdr:row>86</xdr:row>
      <xdr:rowOff>257175</xdr:rowOff>
    </xdr:to>
    <xdr:sp macro="[1]!alignment" textlink="B87">
      <xdr:nvSpPr>
        <xdr:cNvPr id="71" name="Rectángulo: esquinas redondeadas 7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EB640089-65E7-45BA-A8AB-22F5A2A7A4E4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C58F65-2D3E-4BF6-B3FC-D3748D790D07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setCountry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87</xdr:row>
      <xdr:rowOff>28575</xdr:rowOff>
    </xdr:from>
    <xdr:to>
      <xdr:col>5</xdr:col>
      <xdr:colOff>233082</xdr:colOff>
      <xdr:row>87</xdr:row>
      <xdr:rowOff>257175</xdr:rowOff>
    </xdr:to>
    <xdr:sp macro="[1]!alignment" textlink="B88">
      <xdr:nvSpPr>
        <xdr:cNvPr id="73" name="Rectángulo: esquinas redondeadas 7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0CE2BA90-A5BB-47D7-88D1-0E76F3A61782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471F91-9FD9-4F13-A2C9-59B4159B943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setCity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88</xdr:row>
      <xdr:rowOff>28575</xdr:rowOff>
    </xdr:from>
    <xdr:to>
      <xdr:col>5</xdr:col>
      <xdr:colOff>233082</xdr:colOff>
      <xdr:row>88</xdr:row>
      <xdr:rowOff>257175</xdr:rowOff>
    </xdr:to>
    <xdr:sp macro="[1]!alignment" textlink="B89">
      <xdr:nvSpPr>
        <xdr:cNvPr id="74" name="Rectángulo: esquinas redondeadas 7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837176F2-52D4-4A87-8919-17296C1D09F6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165223-69A9-41BC-853A-5FEFF2AC5D9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setTypeIdent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89</xdr:row>
      <xdr:rowOff>28575</xdr:rowOff>
    </xdr:from>
    <xdr:to>
      <xdr:col>5</xdr:col>
      <xdr:colOff>233082</xdr:colOff>
      <xdr:row>89</xdr:row>
      <xdr:rowOff>257175</xdr:rowOff>
    </xdr:to>
    <xdr:sp macro="[1]!alignment" textlink="B90">
      <xdr:nvSpPr>
        <xdr:cNvPr id="76" name="Rectángulo: esquinas redondeadas 7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17E4925D-CC7C-48C8-9BAC-3666A422C99C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BF922C2-F651-4397-B944-9DC2A3C80AB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setCatalog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90</xdr:row>
      <xdr:rowOff>28575</xdr:rowOff>
    </xdr:from>
    <xdr:to>
      <xdr:col>5</xdr:col>
      <xdr:colOff>233082</xdr:colOff>
      <xdr:row>90</xdr:row>
      <xdr:rowOff>257175</xdr:rowOff>
    </xdr:to>
    <xdr:sp macro="[1]!alignment" textlink="B91">
      <xdr:nvSpPr>
        <xdr:cNvPr id="77" name="Rectángulo: esquinas redondeadas 7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380E539-64D9-48C2-98C9-CA9708E6E3D6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857EF77-00DB-4A8A-998B-7295E45260C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setTypeProduct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91</xdr:row>
      <xdr:rowOff>28575</xdr:rowOff>
    </xdr:from>
    <xdr:to>
      <xdr:col>5</xdr:col>
      <xdr:colOff>233082</xdr:colOff>
      <xdr:row>91</xdr:row>
      <xdr:rowOff>257175</xdr:rowOff>
    </xdr:to>
    <xdr:sp macro="[1]!alignment" textlink="B92">
      <xdr:nvSpPr>
        <xdr:cNvPr id="79" name="Rectángulo: esquinas redondeadas 7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21E4A731-2498-4A31-BE66-537B3116F655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5F3006-756A-4844-88AD-2334883CE039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setTypeParticipant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92</xdr:row>
      <xdr:rowOff>28575</xdr:rowOff>
    </xdr:from>
    <xdr:to>
      <xdr:col>5</xdr:col>
      <xdr:colOff>233082</xdr:colOff>
      <xdr:row>92</xdr:row>
      <xdr:rowOff>257175</xdr:rowOff>
    </xdr:to>
    <xdr:sp macro="[1]!alignment" textlink="B93">
      <xdr:nvSpPr>
        <xdr:cNvPr id="80" name="Rectángulo: esquinas redondeadas 7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53CEF5BE-A9F1-4412-8348-7E6E3EEF8F6B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23B9CE8-79E4-4F1E-B93B-431FB94E7ED2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setPlatform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93</xdr:row>
      <xdr:rowOff>28575</xdr:rowOff>
    </xdr:from>
    <xdr:to>
      <xdr:col>5</xdr:col>
      <xdr:colOff>233082</xdr:colOff>
      <xdr:row>93</xdr:row>
      <xdr:rowOff>257175</xdr:rowOff>
    </xdr:to>
    <xdr:sp macro="[1]!alignment" textlink="B94">
      <xdr:nvSpPr>
        <xdr:cNvPr id="82" name="Rectángulo: esquinas redondeadas 7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166C2CE6-A553-49BE-90EC-4CD6D0F9FC20}"/>
            </a:ext>
          </a:extLst>
        </xdr:cNvPr>
        <xdr:cNvSpPr/>
      </xdr:nvSpPr>
      <xdr:spPr>
        <a:xfrm>
          <a:off x="7372350" y="29946600"/>
          <a:ext cx="1938057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FA6EC8D-A59C-492D-8100-1AE0E961CBEE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setSex 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94</xdr:row>
      <xdr:rowOff>196664</xdr:rowOff>
    </xdr:from>
    <xdr:to>
      <xdr:col>5</xdr:col>
      <xdr:colOff>233082</xdr:colOff>
      <xdr:row>94</xdr:row>
      <xdr:rowOff>425264</xdr:rowOff>
    </xdr:to>
    <xdr:sp macro="[1]!alignment" textlink="B95">
      <xdr:nvSpPr>
        <xdr:cNvPr id="83" name="Rectángulo: esquinas redondeadas 7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2824EDA1-523A-4A4A-B916-C5F4C3CA0B08}"/>
            </a:ext>
          </a:extLst>
        </xdr:cNvPr>
        <xdr:cNvSpPr/>
      </xdr:nvSpPr>
      <xdr:spPr>
        <a:xfrm>
          <a:off x="7426138" y="33433311"/>
          <a:ext cx="1939738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DAC30FE-51BD-4C8E-B6DB-15F0E4325D19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insertAdministrator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95</xdr:row>
      <xdr:rowOff>28575</xdr:rowOff>
    </xdr:from>
    <xdr:to>
      <xdr:col>5</xdr:col>
      <xdr:colOff>233082</xdr:colOff>
      <xdr:row>96</xdr:row>
      <xdr:rowOff>0</xdr:rowOff>
    </xdr:to>
    <xdr:sp macro="[1]!alignment" textlink="B96">
      <xdr:nvSpPr>
        <xdr:cNvPr id="97" name="Rectángulo: esquinas redondeadas 7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E4ECF858-3480-4EEA-AE1A-5B11C5446AB3}"/>
            </a:ext>
          </a:extLst>
        </xdr:cNvPr>
        <xdr:cNvSpPr/>
      </xdr:nvSpPr>
      <xdr:spPr>
        <a:xfrm>
          <a:off x="7372350" y="33080325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7285C2-ECE4-42BB-96A6-2B2A19735361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insertProduct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96</xdr:row>
      <xdr:rowOff>28575</xdr:rowOff>
    </xdr:from>
    <xdr:to>
      <xdr:col>5</xdr:col>
      <xdr:colOff>233082</xdr:colOff>
      <xdr:row>97</xdr:row>
      <xdr:rowOff>0</xdr:rowOff>
    </xdr:to>
    <xdr:sp macro="[1]!alignment" textlink="B97">
      <xdr:nvSpPr>
        <xdr:cNvPr id="99" name="Rectángulo: esquinas redondeadas 7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CB656DFB-9A4F-4BD3-A78F-44A44C3F53CE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71E010-CE9C-45DC-97AF-5FB284286CBB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ctr"/>
            <a:t>updateProduct</a:t>
          </a:fld>
          <a:endParaRPr lang="es-CR"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19050</xdr:colOff>
      <xdr:row>97</xdr:row>
      <xdr:rowOff>28575</xdr:rowOff>
    </xdr:from>
    <xdr:to>
      <xdr:col>5</xdr:col>
      <xdr:colOff>233082</xdr:colOff>
      <xdr:row>98</xdr:row>
      <xdr:rowOff>0</xdr:rowOff>
    </xdr:to>
    <xdr:sp macro="[1]!alignment" textlink="">
      <xdr:nvSpPr>
        <xdr:cNvPr id="100" name="Rectángulo: esquinas redondeadas 7">
          <a:hlinkClick xmlns:r="http://schemas.openxmlformats.org/officeDocument/2006/relationships" r:id="rId95" tooltip="addParticipant"/>
          <a:extLst>
            <a:ext uri="{FF2B5EF4-FFF2-40B4-BE49-F238E27FC236}">
              <a16:creationId xmlns:a16="http://schemas.microsoft.com/office/drawing/2014/main" id="{804B1F5A-5EB6-43C7-A0BA-892D58DA97AD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addParticipant</a:t>
          </a:r>
        </a:p>
      </xdr:txBody>
    </xdr:sp>
    <xdr:clientData/>
  </xdr:twoCellAnchor>
  <xdr:twoCellAnchor>
    <xdr:from>
      <xdr:col>4</xdr:col>
      <xdr:colOff>19050</xdr:colOff>
      <xdr:row>98</xdr:row>
      <xdr:rowOff>28575</xdr:rowOff>
    </xdr:from>
    <xdr:to>
      <xdr:col>5</xdr:col>
      <xdr:colOff>233082</xdr:colOff>
      <xdr:row>99</xdr:row>
      <xdr:rowOff>0</xdr:rowOff>
    </xdr:to>
    <xdr:sp macro="[1]!alignment" textlink="">
      <xdr:nvSpPr>
        <xdr:cNvPr id="101" name="Rectángulo: esquinas redondeadas 7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7FFA991D-0BB6-4600-977C-8FFD4C0A1F2F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deleteParticipant</a:t>
          </a:r>
        </a:p>
      </xdr:txBody>
    </xdr:sp>
    <xdr:clientData/>
  </xdr:twoCellAnchor>
  <xdr:twoCellAnchor>
    <xdr:from>
      <xdr:col>4</xdr:col>
      <xdr:colOff>19050</xdr:colOff>
      <xdr:row>99</xdr:row>
      <xdr:rowOff>28575</xdr:rowOff>
    </xdr:from>
    <xdr:to>
      <xdr:col>5</xdr:col>
      <xdr:colOff>233082</xdr:colOff>
      <xdr:row>100</xdr:row>
      <xdr:rowOff>0</xdr:rowOff>
    </xdr:to>
    <xdr:sp macro="[1]!alignment" textlink="">
      <xdr:nvSpPr>
        <xdr:cNvPr id="102" name="Rectángulo: esquinas redondeadas 7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9BB19D10-C259-4690-A379-74E89F823186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addSeason</a:t>
          </a:r>
        </a:p>
      </xdr:txBody>
    </xdr:sp>
    <xdr:clientData/>
  </xdr:twoCellAnchor>
  <xdr:twoCellAnchor>
    <xdr:from>
      <xdr:col>4</xdr:col>
      <xdr:colOff>19050</xdr:colOff>
      <xdr:row>100</xdr:row>
      <xdr:rowOff>28575</xdr:rowOff>
    </xdr:from>
    <xdr:to>
      <xdr:col>5</xdr:col>
      <xdr:colOff>233082</xdr:colOff>
      <xdr:row>101</xdr:row>
      <xdr:rowOff>0</xdr:rowOff>
    </xdr:to>
    <xdr:sp macro="[1]!alignment" textlink="">
      <xdr:nvSpPr>
        <xdr:cNvPr id="103" name="Rectángulo: esquinas redondeadas 7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52759FF2-DC70-4C24-BFD1-13E012AF908E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removeSeason</a:t>
          </a:r>
        </a:p>
      </xdr:txBody>
    </xdr:sp>
    <xdr:clientData/>
  </xdr:twoCellAnchor>
  <xdr:twoCellAnchor>
    <xdr:from>
      <xdr:col>4</xdr:col>
      <xdr:colOff>19050</xdr:colOff>
      <xdr:row>101</xdr:row>
      <xdr:rowOff>28575</xdr:rowOff>
    </xdr:from>
    <xdr:to>
      <xdr:col>5</xdr:col>
      <xdr:colOff>233082</xdr:colOff>
      <xdr:row>102</xdr:row>
      <xdr:rowOff>0</xdr:rowOff>
    </xdr:to>
    <xdr:sp macro="[1]!alignment" textlink="">
      <xdr:nvSpPr>
        <xdr:cNvPr id="105" name="Rectángulo: esquinas redondeadas 7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94153274-2CC5-4D83-A312-35958CF41F7F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addEpisode</a:t>
          </a:r>
        </a:p>
      </xdr:txBody>
    </xdr:sp>
    <xdr:clientData/>
  </xdr:twoCellAnchor>
  <xdr:twoCellAnchor>
    <xdr:from>
      <xdr:col>4</xdr:col>
      <xdr:colOff>19050</xdr:colOff>
      <xdr:row>102</xdr:row>
      <xdr:rowOff>28575</xdr:rowOff>
    </xdr:from>
    <xdr:to>
      <xdr:col>5</xdr:col>
      <xdr:colOff>233082</xdr:colOff>
      <xdr:row>103</xdr:row>
      <xdr:rowOff>0</xdr:rowOff>
    </xdr:to>
    <xdr:sp macro="[1]!alignment" textlink="">
      <xdr:nvSpPr>
        <xdr:cNvPr id="106" name="Rectángulo: esquinas redondeadas 7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85839B00-A125-4804-B9F4-565390516ECD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removeEpisode</a:t>
          </a:r>
        </a:p>
      </xdr:txBody>
    </xdr:sp>
    <xdr:clientData/>
  </xdr:twoCellAnchor>
  <xdr:twoCellAnchor>
    <xdr:from>
      <xdr:col>4</xdr:col>
      <xdr:colOff>19050</xdr:colOff>
      <xdr:row>103</xdr:row>
      <xdr:rowOff>28575</xdr:rowOff>
    </xdr:from>
    <xdr:to>
      <xdr:col>5</xdr:col>
      <xdr:colOff>233082</xdr:colOff>
      <xdr:row>104</xdr:row>
      <xdr:rowOff>0</xdr:rowOff>
    </xdr:to>
    <xdr:sp macro="[1]!alignment" textlink="">
      <xdr:nvSpPr>
        <xdr:cNvPr id="107" name="Rectángulo: esquinas redondeadas 7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20E2A44F-6DE9-474C-B81C-DF45CA7B3760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addPhoto</a:t>
          </a:r>
        </a:p>
      </xdr:txBody>
    </xdr:sp>
    <xdr:clientData/>
  </xdr:twoCellAnchor>
  <xdr:twoCellAnchor>
    <xdr:from>
      <xdr:col>4</xdr:col>
      <xdr:colOff>19050</xdr:colOff>
      <xdr:row>104</xdr:row>
      <xdr:rowOff>28575</xdr:rowOff>
    </xdr:from>
    <xdr:to>
      <xdr:col>5</xdr:col>
      <xdr:colOff>233082</xdr:colOff>
      <xdr:row>105</xdr:row>
      <xdr:rowOff>0</xdr:rowOff>
    </xdr:to>
    <xdr:sp macro="[1]!alignment" textlink="">
      <xdr:nvSpPr>
        <xdr:cNvPr id="109" name="Rectángulo: esquinas redondeadas 7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CF77A7-B045-4DCB-9F84-CF1E74ED0F1A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removePhoto</a:t>
          </a:r>
        </a:p>
      </xdr:txBody>
    </xdr:sp>
    <xdr:clientData/>
  </xdr:twoCellAnchor>
  <xdr:twoCellAnchor>
    <xdr:from>
      <xdr:col>4</xdr:col>
      <xdr:colOff>19050</xdr:colOff>
      <xdr:row>105</xdr:row>
      <xdr:rowOff>28575</xdr:rowOff>
    </xdr:from>
    <xdr:to>
      <xdr:col>5</xdr:col>
      <xdr:colOff>233082</xdr:colOff>
      <xdr:row>106</xdr:row>
      <xdr:rowOff>0</xdr:rowOff>
    </xdr:to>
    <xdr:sp macro="[1]!alignment" textlink="">
      <xdr:nvSpPr>
        <xdr:cNvPr id="110" name="Rectángulo: esquinas redondeadas 7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A6A29195-532C-4A61-9DC5-55E704A1D643}"/>
            </a:ext>
          </a:extLst>
        </xdr:cNvPr>
        <xdr:cNvSpPr/>
      </xdr:nvSpPr>
      <xdr:spPr>
        <a:xfrm>
          <a:off x="7372350" y="3288030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getProducts</a:t>
          </a:r>
        </a:p>
      </xdr:txBody>
    </xdr:sp>
    <xdr:clientData/>
  </xdr:twoCellAnchor>
  <xdr:twoCellAnchor>
    <xdr:from>
      <xdr:col>4</xdr:col>
      <xdr:colOff>19050</xdr:colOff>
      <xdr:row>106</xdr:row>
      <xdr:rowOff>28575</xdr:rowOff>
    </xdr:from>
    <xdr:to>
      <xdr:col>5</xdr:col>
      <xdr:colOff>233082</xdr:colOff>
      <xdr:row>107</xdr:row>
      <xdr:rowOff>0</xdr:rowOff>
    </xdr:to>
    <xdr:sp macro="[1]!alignment" textlink="">
      <xdr:nvSpPr>
        <xdr:cNvPr id="125" name="Rectángulo: esquinas redondeadas 7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7D80001D-6A39-468A-AB9E-9BA9C0133F39}"/>
            </a:ext>
          </a:extLst>
        </xdr:cNvPr>
        <xdr:cNvSpPr/>
      </xdr:nvSpPr>
      <xdr:spPr>
        <a:xfrm>
          <a:off x="7372350" y="35080575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getProductInfo</a:t>
          </a:r>
        </a:p>
      </xdr:txBody>
    </xdr:sp>
    <xdr:clientData/>
  </xdr:twoCellAnchor>
  <xdr:twoCellAnchor>
    <xdr:from>
      <xdr:col>4</xdr:col>
      <xdr:colOff>19050</xdr:colOff>
      <xdr:row>107</xdr:row>
      <xdr:rowOff>28575</xdr:rowOff>
    </xdr:from>
    <xdr:to>
      <xdr:col>5</xdr:col>
      <xdr:colOff>233082</xdr:colOff>
      <xdr:row>108</xdr:row>
      <xdr:rowOff>0</xdr:rowOff>
    </xdr:to>
    <xdr:sp macro="[1]!alignment" textlink="">
      <xdr:nvSpPr>
        <xdr:cNvPr id="130" name="Rectángulo: esquinas redondeadas 7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1E4149A5-ECCA-4A9E-9F11-C12E2D02641B}"/>
            </a:ext>
          </a:extLst>
        </xdr:cNvPr>
        <xdr:cNvSpPr/>
      </xdr:nvSpPr>
      <xdr:spPr>
        <a:xfrm>
          <a:off x="7372350" y="35080575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addGenre</a:t>
          </a:r>
        </a:p>
      </xdr:txBody>
    </xdr:sp>
    <xdr:clientData/>
  </xdr:twoCellAnchor>
  <xdr:twoCellAnchor>
    <xdr:from>
      <xdr:col>4</xdr:col>
      <xdr:colOff>19050</xdr:colOff>
      <xdr:row>108</xdr:row>
      <xdr:rowOff>28575</xdr:rowOff>
    </xdr:from>
    <xdr:to>
      <xdr:col>5</xdr:col>
      <xdr:colOff>233082</xdr:colOff>
      <xdr:row>109</xdr:row>
      <xdr:rowOff>0</xdr:rowOff>
    </xdr:to>
    <xdr:sp macro="[1]!alignment" textlink="">
      <xdr:nvSpPr>
        <xdr:cNvPr id="131" name="Rectángulo: esquinas redondeadas 7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8B315BC-2D99-4F69-965E-BC9A1DF110DB}"/>
            </a:ext>
          </a:extLst>
        </xdr:cNvPr>
        <xdr:cNvSpPr/>
      </xdr:nvSpPr>
      <xdr:spPr>
        <a:xfrm>
          <a:off x="7372350" y="35080575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addPlatform</a:t>
          </a:r>
        </a:p>
      </xdr:txBody>
    </xdr:sp>
    <xdr:clientData/>
  </xdr:twoCellAnchor>
  <xdr:twoCellAnchor>
    <xdr:from>
      <xdr:col>4</xdr:col>
      <xdr:colOff>19050</xdr:colOff>
      <xdr:row>109</xdr:row>
      <xdr:rowOff>28575</xdr:rowOff>
    </xdr:from>
    <xdr:to>
      <xdr:col>5</xdr:col>
      <xdr:colOff>233082</xdr:colOff>
      <xdr:row>110</xdr:row>
      <xdr:rowOff>0</xdr:rowOff>
    </xdr:to>
    <xdr:sp macro="[1]!alignment" textlink="">
      <xdr:nvSpPr>
        <xdr:cNvPr id="132" name="Rectángulo: esquinas redondeadas 7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D492D376-0259-468F-B4BC-68395517D1BD}"/>
            </a:ext>
          </a:extLst>
        </xdr:cNvPr>
        <xdr:cNvSpPr/>
      </xdr:nvSpPr>
      <xdr:spPr>
        <a:xfrm>
          <a:off x="7372350" y="3648075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getProductStatistics</a:t>
          </a:r>
        </a:p>
      </xdr:txBody>
    </xdr:sp>
    <xdr:clientData/>
  </xdr:twoCellAnchor>
  <xdr:twoCellAnchor>
    <xdr:from>
      <xdr:col>4</xdr:col>
      <xdr:colOff>19050</xdr:colOff>
      <xdr:row>110</xdr:row>
      <xdr:rowOff>28575</xdr:rowOff>
    </xdr:from>
    <xdr:to>
      <xdr:col>5</xdr:col>
      <xdr:colOff>233082</xdr:colOff>
      <xdr:row>111</xdr:row>
      <xdr:rowOff>0</xdr:rowOff>
    </xdr:to>
    <xdr:sp macro="[1]!alignment" textlink="">
      <xdr:nvSpPr>
        <xdr:cNvPr id="133" name="Rectángulo: esquinas redondeadas 7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E37C8D0D-3DC0-42C5-AD22-9A5D42265683}"/>
            </a:ext>
          </a:extLst>
        </xdr:cNvPr>
        <xdr:cNvSpPr/>
      </xdr:nvSpPr>
      <xdr:spPr>
        <a:xfrm>
          <a:off x="7372350" y="3648075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getUsersStatisticsByAge</a:t>
          </a:r>
        </a:p>
      </xdr:txBody>
    </xdr:sp>
    <xdr:clientData/>
  </xdr:twoCellAnchor>
  <xdr:twoCellAnchor>
    <xdr:from>
      <xdr:col>4</xdr:col>
      <xdr:colOff>19050</xdr:colOff>
      <xdr:row>111</xdr:row>
      <xdr:rowOff>28575</xdr:rowOff>
    </xdr:from>
    <xdr:to>
      <xdr:col>5</xdr:col>
      <xdr:colOff>233082</xdr:colOff>
      <xdr:row>112</xdr:row>
      <xdr:rowOff>0</xdr:rowOff>
    </xdr:to>
    <xdr:sp macro="[1]!alignment" textlink="">
      <xdr:nvSpPr>
        <xdr:cNvPr id="134" name="Rectángulo: esquinas redondeadas 7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852ED512-6A3B-41FF-B7FF-704E956378F2}"/>
            </a:ext>
          </a:extLst>
        </xdr:cNvPr>
        <xdr:cNvSpPr/>
      </xdr:nvSpPr>
      <xdr:spPr>
        <a:xfrm>
          <a:off x="7372350" y="3648075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getUsersStatisticsBySex</a:t>
          </a:r>
        </a:p>
      </xdr:txBody>
    </xdr:sp>
    <xdr:clientData/>
  </xdr:twoCellAnchor>
  <xdr:twoCellAnchor>
    <xdr:from>
      <xdr:col>4</xdr:col>
      <xdr:colOff>19050</xdr:colOff>
      <xdr:row>112</xdr:row>
      <xdr:rowOff>28575</xdr:rowOff>
    </xdr:from>
    <xdr:to>
      <xdr:col>5</xdr:col>
      <xdr:colOff>233082</xdr:colOff>
      <xdr:row>113</xdr:row>
      <xdr:rowOff>0</xdr:rowOff>
    </xdr:to>
    <xdr:sp macro="[1]!alignment" textlink="">
      <xdr:nvSpPr>
        <xdr:cNvPr id="136" name="Rectángulo: esquinas redondeadas 7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22D7A74C-F93C-4207-B4F6-E650EFCC8F6E}"/>
            </a:ext>
          </a:extLst>
        </xdr:cNvPr>
        <xdr:cNvSpPr/>
      </xdr:nvSpPr>
      <xdr:spPr>
        <a:xfrm>
          <a:off x="7372350" y="3648075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visitProduct</a:t>
          </a:r>
        </a:p>
      </xdr:txBody>
    </xdr:sp>
    <xdr:clientData/>
  </xdr:twoCellAnchor>
  <xdr:twoCellAnchor>
    <xdr:from>
      <xdr:col>4</xdr:col>
      <xdr:colOff>19050</xdr:colOff>
      <xdr:row>113</xdr:row>
      <xdr:rowOff>28575</xdr:rowOff>
    </xdr:from>
    <xdr:to>
      <xdr:col>5</xdr:col>
      <xdr:colOff>233082</xdr:colOff>
      <xdr:row>114</xdr:row>
      <xdr:rowOff>0</xdr:rowOff>
    </xdr:to>
    <xdr:sp macro="[1]!alignment" textlink="">
      <xdr:nvSpPr>
        <xdr:cNvPr id="137" name="Rectángulo: esquinas redondeadas 7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FB3BA1D6-B084-4FA9-B4D2-030911648446}"/>
            </a:ext>
          </a:extLst>
        </xdr:cNvPr>
        <xdr:cNvSpPr/>
      </xdr:nvSpPr>
      <xdr:spPr>
        <a:xfrm>
          <a:off x="7372350" y="3648075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getRecentlyVisited</a:t>
          </a:r>
        </a:p>
      </xdr:txBody>
    </xdr:sp>
    <xdr:clientData/>
  </xdr:twoCellAnchor>
  <xdr:twoCellAnchor>
    <xdr:from>
      <xdr:col>4</xdr:col>
      <xdr:colOff>19050</xdr:colOff>
      <xdr:row>114</xdr:row>
      <xdr:rowOff>28575</xdr:rowOff>
    </xdr:from>
    <xdr:to>
      <xdr:col>5</xdr:col>
      <xdr:colOff>233082</xdr:colOff>
      <xdr:row>115</xdr:row>
      <xdr:rowOff>0</xdr:rowOff>
    </xdr:to>
    <xdr:sp macro="[1]!alignment" textlink="">
      <xdr:nvSpPr>
        <xdr:cNvPr id="138" name="Rectángulo: esquinas redondeadas 7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2573E5CC-B98D-4F42-9450-88FD59004FEE}"/>
            </a:ext>
          </a:extLst>
        </xdr:cNvPr>
        <xdr:cNvSpPr/>
      </xdr:nvSpPr>
      <xdr:spPr>
        <a:xfrm>
          <a:off x="7372350" y="3648075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insertKinship</a:t>
          </a:r>
        </a:p>
      </xdr:txBody>
    </xdr:sp>
    <xdr:clientData/>
  </xdr:twoCellAnchor>
  <xdr:twoCellAnchor>
    <xdr:from>
      <xdr:col>4</xdr:col>
      <xdr:colOff>19050</xdr:colOff>
      <xdr:row>115</xdr:row>
      <xdr:rowOff>28575</xdr:rowOff>
    </xdr:from>
    <xdr:to>
      <xdr:col>5</xdr:col>
      <xdr:colOff>233082</xdr:colOff>
      <xdr:row>116</xdr:row>
      <xdr:rowOff>0</xdr:rowOff>
    </xdr:to>
    <xdr:sp macro="[1]!alignment" textlink="">
      <xdr:nvSpPr>
        <xdr:cNvPr id="139" name="Rectángulo: esquinas redondeadas 7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8215494E-16DE-4730-9547-BF21782A708C}"/>
            </a:ext>
          </a:extLst>
        </xdr:cNvPr>
        <xdr:cNvSpPr/>
      </xdr:nvSpPr>
      <xdr:spPr>
        <a:xfrm>
          <a:off x="7372350" y="36480750"/>
          <a:ext cx="1938057" cy="1714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setKindship</a:t>
          </a:r>
        </a:p>
      </xdr:txBody>
    </xdr:sp>
    <xdr:clientData/>
  </xdr:twoCellAnchor>
  <xdr:twoCellAnchor>
    <xdr:from>
      <xdr:col>1</xdr:col>
      <xdr:colOff>206013</xdr:colOff>
      <xdr:row>118</xdr:row>
      <xdr:rowOff>103359</xdr:rowOff>
    </xdr:from>
    <xdr:to>
      <xdr:col>2</xdr:col>
      <xdr:colOff>1062404</xdr:colOff>
      <xdr:row>129</xdr:row>
      <xdr:rowOff>117230</xdr:rowOff>
    </xdr:to>
    <xdr:sp macro="[1]!alignment" textlink="">
      <xdr:nvSpPr>
        <xdr:cNvPr id="140" name="Rectángulo: esquinas redondeadas 7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8F5A8D5-B737-46BB-B90F-796EF9BE2DC9}"/>
            </a:ext>
          </a:extLst>
        </xdr:cNvPr>
        <xdr:cNvSpPr/>
      </xdr:nvSpPr>
      <xdr:spPr>
        <a:xfrm>
          <a:off x="543051" y="38855455"/>
          <a:ext cx="2468315" cy="210937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0BEC52-F166-40C0-84E9-36C76B0E4657}"/>
            </a:ext>
          </a:extLst>
        </xdr:cNvPr>
        <xdr:cNvSpPr/>
      </xdr:nvSpPr>
      <xdr:spPr>
        <a:xfrm>
          <a:off x="0" y="60007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5AB23D-C4CE-4D6B-80A9-A748D23CDBBE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32F334-8D19-402A-8976-6A1E54BA2702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04FBCE-23AF-46D5-BE9E-82BEE2E86393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947C96-E938-41EF-B4CA-A9696BA75ED6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8F8364-4361-4B43-9484-82B0991BF08E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6FB5EF-B4EB-4641-AE3B-A709AE7DA8B5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1785F9-9135-42FB-A574-C909587E7F1C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A6D1A5-A96C-476E-AC85-1DBA56D39DD7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AB6AB4-95C3-4C9B-916C-03AA45B05F79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341BCB-398E-4CE3-A765-1EC633434D7F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B52DD0-3697-4BE8-96A2-1DB5395257BF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2E9477-DCEC-456E-8E36-F14467493730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7CB738-DADD-4BAE-BF0D-C3A4327927D5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15E41A-E476-41C8-80C4-DAC7E855E6E1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5A3A12-19F5-435B-BEA8-BF71638C7D6B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6E9480-A225-4D40-8340-F68BDAE4AE2F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B5A176-3B32-4003-9C40-B4E6A38D142B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490E72-5FF4-485A-A667-CF4B8B7290D6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E1CC0-BB80-4597-91B1-A7B014AAA42D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E6F25C-5594-4DC5-B5E8-184D4B3704CA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1D01AC-FCC6-4EB4-B6E8-FD0D19AED8D9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87E3BD-7ED7-4689-A7ED-68F8055758D4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4C07D9-4EDD-4840-A248-C6C6593335DC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184380-B538-44B5-B4A8-A2254023B73C}"/>
            </a:ext>
          </a:extLst>
        </xdr:cNvPr>
        <xdr:cNvSpPr/>
      </xdr:nvSpPr>
      <xdr:spPr>
        <a:xfrm>
          <a:off x="0" y="1076325"/>
          <a:ext cx="742950" cy="904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5A20F7-66FB-4C47-BD0C-39F2FF2E624E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AF8372-E700-47EE-9628-DEC5D07F0FC2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726AFB-8825-46D4-9823-A254886416BA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B0FF5E-F46E-44F5-9F34-338CDAE81D06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8324E9-3B94-425A-8020-91309DF61A94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CEBC7-271A-4771-9AA0-F53103F4B2D2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CA44FF-C471-4C04-96B6-E156AC6AE5AF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E6758B-AB6B-4FA3-9036-5BE93595C37B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6</xdr:row>
      <xdr:rowOff>161925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643269-3D9D-452B-88DB-44749BBFC15A}"/>
            </a:ext>
          </a:extLst>
        </xdr:cNvPr>
        <xdr:cNvSpPr/>
      </xdr:nvSpPr>
      <xdr:spPr>
        <a:xfrm>
          <a:off x="0" y="1076325"/>
          <a:ext cx="742950" cy="704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5247DD-0473-4643-B5B1-7D6E417A8CC9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020C6C-F48E-49C7-801D-A4EEA71E84F6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5E0ADA-DF96-4D3E-9247-1A1E951DF05E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95F5A6-E7B0-483C-93F6-A7E8197069A9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FD309A-98C0-4A46-AFA2-E74614B5513C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AE3B42-3A1E-43D0-832B-79438E2698F7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1C748F-CA5C-475C-BACC-F58D58F19165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CF62B5-CC3C-420E-A62F-89EFEE5E28D0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2102EB-A9D2-41A0-A6E4-A460DA32DDC3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96AA5C-3CCE-4C73-B950-F05F8E42E158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B59FFA-D23D-4700-AF57-806BE159783E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DBA37F-07DB-4509-BE23-4B8B30822F33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FFB3DE-49EC-4546-A8C4-B7AC1D53237D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29A196-BFB5-4420-99FF-E1A57139A121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066831-25D2-4A53-A119-91918259E026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1B0640-5E0C-4EA9-9634-B02777883EEA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B4515-B47C-43BC-BC08-228E530746FD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AB5050-16F0-4E93-B10F-602731302FF2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ADE40B-1E1A-4B33-B0C4-8251137F8E45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8B622D-B9BE-40B8-8482-3D8D2601AE64}"/>
            </a:ext>
          </a:extLst>
        </xdr:cNvPr>
        <xdr:cNvSpPr/>
      </xdr:nvSpPr>
      <xdr:spPr>
        <a:xfrm>
          <a:off x="0" y="600075"/>
          <a:ext cx="742950" cy="733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5704F2-E8F3-4D70-8959-F28D33C5A3B6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2C2DBB-DDD9-4267-B7B0-F216C7F9A9FA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A202BF-80B2-4202-AE31-A2BFB2F833FF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81F7DA-2A9B-4131-9CF3-C577D3514EB8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2E41DB-3EAC-4624-A85E-D0B530A76AA7}"/>
            </a:ext>
          </a:extLst>
        </xdr:cNvPr>
        <xdr:cNvSpPr/>
      </xdr:nvSpPr>
      <xdr:spPr>
        <a:xfrm>
          <a:off x="2286000" y="1171575"/>
          <a:ext cx="742950" cy="5619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28575</xdr:rowOff>
    </xdr:from>
    <xdr:to>
      <xdr:col>3</xdr:col>
      <xdr:colOff>742950</xdr:colOff>
      <xdr:row>8</xdr:row>
      <xdr:rowOff>0</xdr:rowOff>
    </xdr:to>
    <xdr:sp macro="[0]!Índice" textlink="">
      <xdr:nvSpPr>
        <xdr:cNvPr id="14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FA286F-CEF5-433E-8DB5-87159C59A7DD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2</xdr:col>
      <xdr:colOff>742950</xdr:colOff>
      <xdr:row>7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1CE857-E8E1-4179-A808-CD6305747C2F}"/>
            </a:ext>
          </a:extLst>
        </xdr:cNvPr>
        <xdr:cNvSpPr/>
      </xdr:nvSpPr>
      <xdr:spPr>
        <a:xfrm>
          <a:off x="2286000" y="1171575"/>
          <a:ext cx="742950" cy="5619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00FD46-41A8-497D-A753-673FBDF28021}"/>
            </a:ext>
          </a:extLst>
        </xdr:cNvPr>
        <xdr:cNvSpPr/>
      </xdr:nvSpPr>
      <xdr:spPr>
        <a:xfrm>
          <a:off x="1524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FBF533-556A-413B-9235-147188BE4E58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C94E03-6AE5-4E04-B4C4-6DB47DE6F95B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254193-C988-4901-941E-C8E098D821CA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04765C-DB1E-4A3B-88D3-BF5CB5BE3AEF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799D52-0CF2-4088-B772-AA5881BBF92F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3E1660-A09E-42DB-AB17-CF2CE173E59B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0CB3ED-983F-41B0-A694-3421C08952BC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CDDFE0-106E-43EC-B9D9-47F72E564AA3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E03EAD-DFE5-48D8-A5C5-7CFA11AFC61A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6D608C-56DE-4FB5-982E-A693D11C8A9A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A9F299-A07C-445F-8AD7-0592698A7C6D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56980F-D2DC-4745-BDF6-EFF069016139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191A69-203A-4E61-BF6C-DF6B8C18874C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34C9AF-B9CC-4D44-8C80-FCC0FF9DF077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A917FE-2F50-492B-AFF2-DD5B9D83B963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0911AC-14D9-4F9B-A6E2-EDA15B422BEF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E79F4-FD6F-46E5-8BA7-36390E535FA5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565957-7486-4215-AF21-A17B6099DB27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8E86E-A4A9-4B4A-9DB4-379D51824314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A33C45-F5B9-4147-BEAA-B189274C1CB3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91D12B-A3FB-432E-92C9-6E6024F7A03A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0BDDDC-D94D-4E97-A035-2960848D2F73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284ED0-A807-4F2D-8CFD-CCDEE5107924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21AB64-3BCC-4AA5-8653-C78F3004F6E6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3EC3A3-83C7-43D9-8C1C-3F6F6C2DD42A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88E7C5-CA70-4DDC-BF0E-B870C8C684D3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3971FA-AEF1-4F29-8127-1B1346D24C04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A9597D-987F-485F-86CC-3C5062BC9BF4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9E963E-BA1E-4DF0-A527-2FABA55D3170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28575</xdr:rowOff>
    </xdr:from>
    <xdr:to>
      <xdr:col>0</xdr:col>
      <xdr:colOff>742950</xdr:colOff>
      <xdr:row>5</xdr:row>
      <xdr:rowOff>0</xdr:rowOff>
    </xdr:to>
    <xdr:sp macro="[0]!Índice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D1A0A2-C03B-4D10-9EB2-517CA5E91824}"/>
            </a:ext>
          </a:extLst>
        </xdr:cNvPr>
        <xdr:cNvSpPr/>
      </xdr:nvSpPr>
      <xdr:spPr>
        <a:xfrm>
          <a:off x="0" y="600075"/>
          <a:ext cx="742950" cy="6191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181D54-F750-444E-A8E4-BB0F49198886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79CA9A-F1C6-47A9-AEB5-A5BD9E12ED73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28575</xdr:rowOff>
    </xdr:from>
    <xdr:to>
      <xdr:col>3</xdr:col>
      <xdr:colOff>742950</xdr:colOff>
      <xdr:row>7</xdr:row>
      <xdr:rowOff>0</xdr:rowOff>
    </xdr:to>
    <xdr:sp macro="[0]!Índice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B49BC3-200B-44B2-8435-DC47363DA26F}"/>
            </a:ext>
          </a:extLst>
        </xdr:cNvPr>
        <xdr:cNvSpPr/>
      </xdr:nvSpPr>
      <xdr:spPr>
        <a:xfrm>
          <a:off x="2286000" y="981075"/>
          <a:ext cx="742950" cy="3714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28575</xdr:rowOff>
    </xdr:from>
    <xdr:to>
      <xdr:col>1</xdr:col>
      <xdr:colOff>742950</xdr:colOff>
      <xdr:row>8</xdr:row>
      <xdr:rowOff>0</xdr:rowOff>
    </xdr:to>
    <xdr:sp macro="[0]!Índice" textlink="">
      <xdr:nvSpPr>
        <xdr:cNvPr id="7" name="Rectángulo: esquinas redondeada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23C8F8-80CB-4C06-9834-235CC2CDDD6A}"/>
            </a:ext>
          </a:extLst>
        </xdr:cNvPr>
        <xdr:cNvSpPr/>
      </xdr:nvSpPr>
      <xdr:spPr>
        <a:xfrm>
          <a:off x="2286000" y="9493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28575</xdr:rowOff>
    </xdr:from>
    <xdr:to>
      <xdr:col>2</xdr:col>
      <xdr:colOff>742950</xdr:colOff>
      <xdr:row>9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BC50BC-6F60-454A-89A3-2AC3B2E66852}"/>
            </a:ext>
          </a:extLst>
        </xdr:cNvPr>
        <xdr:cNvSpPr/>
      </xdr:nvSpPr>
      <xdr:spPr>
        <a:xfrm>
          <a:off x="2286000" y="9493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28575</xdr:rowOff>
    </xdr:from>
    <xdr:to>
      <xdr:col>2</xdr:col>
      <xdr:colOff>742950</xdr:colOff>
      <xdr:row>11</xdr:row>
      <xdr:rowOff>0</xdr:rowOff>
    </xdr:to>
    <xdr:sp macro="[0]!Índice" textlink="">
      <xdr:nvSpPr>
        <xdr:cNvPr id="10" name="Rectángulo: esquinas redondeadas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8FD664-FEAE-421B-B30F-60F523FFA0D4}"/>
            </a:ext>
          </a:extLst>
        </xdr:cNvPr>
        <xdr:cNvSpPr/>
      </xdr:nvSpPr>
      <xdr:spPr>
        <a:xfrm>
          <a:off x="2286000" y="9493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28575</xdr:rowOff>
    </xdr:from>
    <xdr:to>
      <xdr:col>3</xdr:col>
      <xdr:colOff>742950</xdr:colOff>
      <xdr:row>11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229FB4-040D-4287-99B0-42FFB78C2B21}"/>
            </a:ext>
          </a:extLst>
        </xdr:cNvPr>
        <xdr:cNvSpPr/>
      </xdr:nvSpPr>
      <xdr:spPr>
        <a:xfrm>
          <a:off x="2286000" y="9493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28575</xdr:rowOff>
    </xdr:from>
    <xdr:to>
      <xdr:col>4</xdr:col>
      <xdr:colOff>742950</xdr:colOff>
      <xdr:row>13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A5A0F5-4D50-44AF-9B98-C4807D80E2B3}"/>
            </a:ext>
          </a:extLst>
        </xdr:cNvPr>
        <xdr:cNvSpPr/>
      </xdr:nvSpPr>
      <xdr:spPr>
        <a:xfrm>
          <a:off x="1524000" y="13176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28575</xdr:rowOff>
    </xdr:from>
    <xdr:to>
      <xdr:col>2</xdr:col>
      <xdr:colOff>742950</xdr:colOff>
      <xdr:row>9</xdr:row>
      <xdr:rowOff>0</xdr:rowOff>
    </xdr:to>
    <xdr:sp macro="[0]!Índice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302CF9-0BFB-4731-8A22-6A6BEB950585}"/>
            </a:ext>
          </a:extLst>
        </xdr:cNvPr>
        <xdr:cNvSpPr/>
      </xdr:nvSpPr>
      <xdr:spPr>
        <a:xfrm>
          <a:off x="3048000" y="2054225"/>
          <a:ext cx="742950" cy="5365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28575</xdr:rowOff>
    </xdr:from>
    <xdr:to>
      <xdr:col>2</xdr:col>
      <xdr:colOff>742950</xdr:colOff>
      <xdr:row>9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CDAC08-7A88-4C74-BC4B-AA0126E60875}"/>
            </a:ext>
          </a:extLst>
        </xdr:cNvPr>
        <xdr:cNvSpPr/>
      </xdr:nvSpPr>
      <xdr:spPr>
        <a:xfrm>
          <a:off x="1524000" y="13176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28575</xdr:rowOff>
    </xdr:from>
    <xdr:to>
      <xdr:col>1</xdr:col>
      <xdr:colOff>742950</xdr:colOff>
      <xdr:row>6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E8A155-DA1C-42AE-B289-2DF6CCA51E99}"/>
            </a:ext>
          </a:extLst>
        </xdr:cNvPr>
        <xdr:cNvSpPr/>
      </xdr:nvSpPr>
      <xdr:spPr>
        <a:xfrm>
          <a:off x="1524000" y="13176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28575</xdr:rowOff>
    </xdr:from>
    <xdr:to>
      <xdr:col>1</xdr:col>
      <xdr:colOff>742950</xdr:colOff>
      <xdr:row>6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9BEA1A-A820-4455-86A3-FC0AB133E482}"/>
            </a:ext>
          </a:extLst>
        </xdr:cNvPr>
        <xdr:cNvSpPr/>
      </xdr:nvSpPr>
      <xdr:spPr>
        <a:xfrm>
          <a:off x="1524000" y="13176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28575</xdr:rowOff>
    </xdr:from>
    <xdr:to>
      <xdr:col>1</xdr:col>
      <xdr:colOff>742950</xdr:colOff>
      <xdr:row>6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305984-4FEA-4B68-AD2E-E15FC8F5715E}"/>
            </a:ext>
          </a:extLst>
        </xdr:cNvPr>
        <xdr:cNvSpPr/>
      </xdr:nvSpPr>
      <xdr:spPr>
        <a:xfrm>
          <a:off x="1524000" y="13176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2</xdr:col>
      <xdr:colOff>742950</xdr:colOff>
      <xdr:row>7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1BD6A0-CE31-45DD-AF33-EC26B5829ACA}"/>
            </a:ext>
          </a:extLst>
        </xdr:cNvPr>
        <xdr:cNvSpPr/>
      </xdr:nvSpPr>
      <xdr:spPr>
        <a:xfrm>
          <a:off x="1524000" y="13176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28575</xdr:rowOff>
    </xdr:from>
    <xdr:to>
      <xdr:col>2</xdr:col>
      <xdr:colOff>742950</xdr:colOff>
      <xdr:row>8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1A56AC-F76C-4303-9E10-C13FBF2CEFEC}"/>
            </a:ext>
          </a:extLst>
        </xdr:cNvPr>
        <xdr:cNvSpPr/>
      </xdr:nvSpPr>
      <xdr:spPr>
        <a:xfrm>
          <a:off x="1524000" y="131762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28575</xdr:rowOff>
    </xdr:from>
    <xdr:to>
      <xdr:col>2</xdr:col>
      <xdr:colOff>742950</xdr:colOff>
      <xdr:row>6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5A26C4-B912-4EC9-8E19-10061F898257}"/>
            </a:ext>
          </a:extLst>
        </xdr:cNvPr>
        <xdr:cNvSpPr/>
      </xdr:nvSpPr>
      <xdr:spPr>
        <a:xfrm>
          <a:off x="1524000" y="949325"/>
          <a:ext cx="742950" cy="7207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2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F87BF8-C995-4DB2-81B4-14C0BC75B31D}"/>
            </a:ext>
          </a:extLst>
        </xdr:cNvPr>
        <xdr:cNvSpPr/>
      </xdr:nvSpPr>
      <xdr:spPr>
        <a:xfrm>
          <a:off x="1524000" y="949325"/>
          <a:ext cx="742950" cy="7207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28575</xdr:rowOff>
    </xdr:from>
    <xdr:to>
      <xdr:col>2</xdr:col>
      <xdr:colOff>742950</xdr:colOff>
      <xdr:row>6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6D9C8D-43F1-4E71-8AD0-DF103585E05D}"/>
            </a:ext>
          </a:extLst>
        </xdr:cNvPr>
        <xdr:cNvSpPr/>
      </xdr:nvSpPr>
      <xdr:spPr>
        <a:xfrm>
          <a:off x="1524000" y="949325"/>
          <a:ext cx="742950" cy="7207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28575</xdr:rowOff>
    </xdr:from>
    <xdr:to>
      <xdr:col>2</xdr:col>
      <xdr:colOff>742950</xdr:colOff>
      <xdr:row>6</xdr:row>
      <xdr:rowOff>0</xdr:rowOff>
    </xdr:to>
    <xdr:sp macro="[0]!Índice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50BBF7-5CAC-4D6B-8367-BAB385E0D98A}"/>
            </a:ext>
          </a:extLst>
        </xdr:cNvPr>
        <xdr:cNvSpPr/>
      </xdr:nvSpPr>
      <xdr:spPr>
        <a:xfrm>
          <a:off x="1524000" y="949325"/>
          <a:ext cx="742950" cy="7207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2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F8923A-96C0-42CC-BA61-058D2132A00B}"/>
            </a:ext>
          </a:extLst>
        </xdr:cNvPr>
        <xdr:cNvSpPr/>
      </xdr:nvSpPr>
      <xdr:spPr>
        <a:xfrm>
          <a:off x="1524000" y="76517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2</xdr:col>
      <xdr:colOff>742950</xdr:colOff>
      <xdr:row>7</xdr:row>
      <xdr:rowOff>0</xdr:rowOff>
    </xdr:to>
    <xdr:sp macro="[0]!Índice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EF4EE2-31EC-4B73-94D3-D4EE7027925F}"/>
            </a:ext>
          </a:extLst>
        </xdr:cNvPr>
        <xdr:cNvSpPr/>
      </xdr:nvSpPr>
      <xdr:spPr>
        <a:xfrm>
          <a:off x="1524000" y="765175"/>
          <a:ext cx="742950" cy="352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180973</xdr:colOff>
      <xdr:row>3</xdr:row>
      <xdr:rowOff>9524</xdr:rowOff>
    </xdr:from>
    <xdr:to>
      <xdr:col>3</xdr:col>
      <xdr:colOff>312973</xdr:colOff>
      <xdr:row>11</xdr:row>
      <xdr:rowOff>142875</xdr:rowOff>
    </xdr:to>
    <xdr:sp macro="[0]!Índice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33FA93-D5A0-46A4-AE56-C07E453F694C}"/>
            </a:ext>
          </a:extLst>
        </xdr:cNvPr>
        <xdr:cNvSpPr/>
      </xdr:nvSpPr>
      <xdr:spPr>
        <a:xfrm>
          <a:off x="942973" y="581024"/>
          <a:ext cx="1656000" cy="165735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Index</a:t>
          </a:r>
        </a:p>
      </xdr:txBody>
    </xdr:sp>
    <xdr:clientData/>
  </xdr:twoCellAnchor>
  <xdr:twoCellAnchor>
    <xdr:from>
      <xdr:col>3</xdr:col>
      <xdr:colOff>542926</xdr:colOff>
      <xdr:row>2</xdr:row>
      <xdr:rowOff>190499</xdr:rowOff>
    </xdr:from>
    <xdr:to>
      <xdr:col>5</xdr:col>
      <xdr:colOff>674926</xdr:colOff>
      <xdr:row>11</xdr:row>
      <xdr:rowOff>131999</xdr:rowOff>
    </xdr:to>
    <xdr:sp macro="[0]!alignment" textlink="">
      <xdr:nvSpPr>
        <xdr:cNvPr id="11" name="Rectángulo: esquinas redondeada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B3A0DC3-3B04-4DA2-B4B0-E91FE98A2BF2}"/>
            </a:ext>
          </a:extLst>
        </xdr:cNvPr>
        <xdr:cNvSpPr/>
      </xdr:nvSpPr>
      <xdr:spPr>
        <a:xfrm>
          <a:off x="2828926" y="571499"/>
          <a:ext cx="1656000" cy="1656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0" i="0" u="none" strike="noStrike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Index end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C\Documents\J\Nova%20J\TEC\Semestre%203\BD%20Bases%20de%20Datos\Proyecto2\beta4%20procs%20endUser%20finished%20Diccionario_de_Datos.xlsm" TargetMode="External"/><Relationship Id="rId1" Type="http://schemas.openxmlformats.org/officeDocument/2006/relationships/externalLinkPath" Target="/Users/PC/Documents/J/Nova%20J/TEC/Semestre%203/BD%20Bases%20de%20Datos/Proyecto2/beta4%20procs%20endUser%20finished%20Diccionario_de_Da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Person"/>
      <sheetName val="TypeOfIdentification"/>
      <sheetName val="Sex"/>
      <sheetName val="Nationality"/>
      <sheetName val="Country"/>
      <sheetName val="City"/>
      <sheetName val="Relative"/>
      <sheetName val="NationalityPerson"/>
      <sheetName val="SystemUser"/>
      <sheetName val="Identification"/>
      <sheetName val="IdentXSystem"/>
      <sheetName val="End_user"/>
      <sheetName val="Administrator"/>
      <sheetName val="Participant"/>
      <sheetName val="TypeOfProduct"/>
      <sheetName val="Product"/>
      <sheetName val="Binnacle"/>
      <sheetName val="Season"/>
      <sheetName val="Episode"/>
      <sheetName val="Photo"/>
      <sheetName val="TypeOfParticipant"/>
      <sheetName val="ParticipantXProduct"/>
      <sheetName val="ParticipantXRelative"/>
      <sheetName val="Payment"/>
      <sheetName val="Card"/>
      <sheetName val="Wishlist"/>
      <sheetName val="Purchase"/>
      <sheetName val="Catalog"/>
      <sheetName val="CatalogxProduct"/>
      <sheetName val="Platform"/>
      <sheetName val="ProductXPlatform"/>
      <sheetName val="Review"/>
      <sheetName val="Commentary"/>
      <sheetName val="UserXProduct"/>
      <sheetName val="insertUser"/>
      <sheetName val="updateUser"/>
      <sheetName val="deleteUser"/>
      <sheetName val="buyProduct"/>
      <sheetName val="commentProduct"/>
      <sheetName val="updateComment"/>
      <sheetName val="reviewProduct"/>
      <sheetName val="updateReview"/>
      <sheetName val="insertFavorite"/>
      <sheetName val="getWishlist"/>
      <sheetName val="deleteComment"/>
      <sheetName val="deleteReview"/>
      <sheetName val="deleteFavorite"/>
      <sheetName val="insertCard"/>
      <sheetName val="removeCard"/>
      <sheetName val="getPaymentMethods"/>
      <sheetName val="&lt;End of Dictionary&gt;"/>
      <sheetName val="cSP v2"/>
      <sheetName val="cProc v1"/>
      <sheetName val="cDel v1"/>
      <sheetName val="&lt;-&gt;"/>
      <sheetName val="cSP v1"/>
      <sheetName val="beta4 procs endUser finished Di"/>
    </sheetNames>
    <definedNames>
      <definedName name="alignmen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a:spPr>
      <a:bodyPr vertOverflow="clip" horzOverflow="clip" rtlCol="0" anchor="ctr"/>
      <a:lstStyle>
        <a:defPPr marL="0" indent="0" algn="ctr">
          <a:defRPr sz="1200" b="0" i="0" u="none" strike="noStrike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1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1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1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1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1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7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8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9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20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21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22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23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24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25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2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2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3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7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9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0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1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2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3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4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5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6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7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9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0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1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2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3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4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5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6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7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8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9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0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1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2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3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4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5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6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7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8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9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0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1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2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3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4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E12E1-2C28-471F-B41B-BBC881D10619}">
  <sheetPr codeName="Hoja1"/>
  <dimension ref="A1:G116"/>
  <sheetViews>
    <sheetView showGridLines="0" tabSelected="1" zoomScaleNormal="100" workbookViewId="0"/>
  </sheetViews>
  <sheetFormatPr baseColWidth="10" defaultColWidth="11.42578125" defaultRowHeight="15" x14ac:dyDescent="0.25"/>
  <cols>
    <col min="1" max="1" width="5" customWidth="1"/>
    <col min="2" max="2" width="24.140625" customWidth="1"/>
    <col min="3" max="3" width="52.42578125" customWidth="1"/>
    <col min="4" max="4" width="29.42578125" customWidth="1"/>
    <col min="5" max="5" width="25.85546875" style="4" customWidth="1"/>
  </cols>
  <sheetData>
    <row r="1" spans="1:4" ht="15.75" thickBot="1" x14ac:dyDescent="0.3"/>
    <row r="2" spans="1:4" s="2" customFormat="1" ht="15.75" thickBot="1" x14ac:dyDescent="0.3">
      <c r="B2" s="9" t="s">
        <v>0</v>
      </c>
      <c r="C2" s="10" t="s">
        <v>1</v>
      </c>
      <c r="D2" s="10" t="s">
        <v>2</v>
      </c>
    </row>
    <row r="3" spans="1:4" s="2" customFormat="1" ht="37.5" customHeight="1" thickBot="1" x14ac:dyDescent="0.3">
      <c r="B3" s="8" t="s">
        <v>3</v>
      </c>
      <c r="C3" s="6" t="s">
        <v>4</v>
      </c>
      <c r="D3" s="6" t="s">
        <v>5</v>
      </c>
    </row>
    <row r="4" spans="1:4" s="2" customFormat="1" ht="37.5" customHeight="1" thickBot="1" x14ac:dyDescent="0.3">
      <c r="B4" s="8" t="s">
        <v>6</v>
      </c>
      <c r="C4" s="6" t="s">
        <v>7</v>
      </c>
      <c r="D4" s="6" t="s">
        <v>5</v>
      </c>
    </row>
    <row r="5" spans="1:4" s="2" customFormat="1" ht="38.25" customHeight="1" thickBot="1" x14ac:dyDescent="0.3">
      <c r="A5" s="7"/>
      <c r="B5" s="8" t="s">
        <v>8</v>
      </c>
      <c r="C5" s="6" t="s">
        <v>9</v>
      </c>
      <c r="D5" s="6" t="s">
        <v>5</v>
      </c>
    </row>
    <row r="6" spans="1:4" s="2" customFormat="1" ht="38.25" customHeight="1" thickBot="1" x14ac:dyDescent="0.3">
      <c r="A6" s="7"/>
      <c r="B6" s="8" t="s">
        <v>10</v>
      </c>
      <c r="C6" s="6" t="s">
        <v>11</v>
      </c>
      <c r="D6" s="6" t="s">
        <v>5</v>
      </c>
    </row>
    <row r="7" spans="1:4" ht="30.75" thickBot="1" x14ac:dyDescent="0.3">
      <c r="B7" s="8" t="s">
        <v>12</v>
      </c>
      <c r="C7" s="6" t="s">
        <v>13</v>
      </c>
      <c r="D7" s="6" t="s">
        <v>5</v>
      </c>
    </row>
    <row r="8" spans="1:4" ht="33.75" customHeight="1" thickBot="1" x14ac:dyDescent="0.3">
      <c r="B8" s="8" t="s">
        <v>14</v>
      </c>
      <c r="C8" s="6" t="s">
        <v>15</v>
      </c>
      <c r="D8" s="6" t="s">
        <v>5</v>
      </c>
    </row>
    <row r="9" spans="1:4" ht="30.75" thickBot="1" x14ac:dyDescent="0.3">
      <c r="B9" s="8" t="s">
        <v>16</v>
      </c>
      <c r="C9" s="6" t="s">
        <v>17</v>
      </c>
      <c r="D9" s="6" t="s">
        <v>5</v>
      </c>
    </row>
    <row r="10" spans="1:4" ht="30.75" thickBot="1" x14ac:dyDescent="0.3">
      <c r="B10" s="8" t="s">
        <v>18</v>
      </c>
      <c r="C10" s="6" t="s">
        <v>19</v>
      </c>
      <c r="D10" s="6" t="s">
        <v>5</v>
      </c>
    </row>
    <row r="11" spans="1:4" ht="30.75" thickBot="1" x14ac:dyDescent="0.3">
      <c r="B11" s="8" t="s">
        <v>20</v>
      </c>
      <c r="C11" s="6" t="s">
        <v>21</v>
      </c>
      <c r="D11" s="6" t="s">
        <v>5</v>
      </c>
    </row>
    <row r="12" spans="1:4" ht="30.75" thickBot="1" x14ac:dyDescent="0.3">
      <c r="B12" s="8" t="s">
        <v>22</v>
      </c>
      <c r="C12" s="6" t="s">
        <v>23</v>
      </c>
      <c r="D12" s="6" t="s">
        <v>5</v>
      </c>
    </row>
    <row r="13" spans="1:4" ht="45.75" thickBot="1" x14ac:dyDescent="0.3">
      <c r="B13" s="8" t="s">
        <v>24</v>
      </c>
      <c r="C13" s="6" t="s">
        <v>25</v>
      </c>
      <c r="D13" s="6" t="s">
        <v>5</v>
      </c>
    </row>
    <row r="14" spans="1:4" ht="30.75" thickBot="1" x14ac:dyDescent="0.3">
      <c r="B14" s="8" t="s">
        <v>26</v>
      </c>
      <c r="C14" s="6" t="s">
        <v>27</v>
      </c>
      <c r="D14" s="6" t="s">
        <v>5</v>
      </c>
    </row>
    <row r="15" spans="1:4" ht="30.75" thickBot="1" x14ac:dyDescent="0.3">
      <c r="B15" s="8" t="s">
        <v>28</v>
      </c>
      <c r="C15" s="6" t="s">
        <v>29</v>
      </c>
      <c r="D15" s="6" t="s">
        <v>5</v>
      </c>
    </row>
    <row r="16" spans="1:4" ht="45.75" thickBot="1" x14ac:dyDescent="0.3">
      <c r="B16" s="8" t="s">
        <v>30</v>
      </c>
      <c r="C16" s="6" t="s">
        <v>31</v>
      </c>
      <c r="D16" s="6" t="s">
        <v>5</v>
      </c>
    </row>
    <row r="17" spans="2:4" ht="30.75" thickBot="1" x14ac:dyDescent="0.3">
      <c r="B17" s="8" t="s">
        <v>32</v>
      </c>
      <c r="C17" s="6" t="s">
        <v>33</v>
      </c>
      <c r="D17" s="6" t="s">
        <v>5</v>
      </c>
    </row>
    <row r="18" spans="2:4" ht="30.75" thickBot="1" x14ac:dyDescent="0.3">
      <c r="B18" s="8" t="s">
        <v>34</v>
      </c>
      <c r="C18" s="6" t="s">
        <v>35</v>
      </c>
      <c r="D18" s="6" t="s">
        <v>5</v>
      </c>
    </row>
    <row r="19" spans="2:4" ht="30.75" thickBot="1" x14ac:dyDescent="0.3">
      <c r="B19" s="8" t="s">
        <v>36</v>
      </c>
      <c r="C19" s="6" t="s">
        <v>37</v>
      </c>
      <c r="D19" s="6" t="s">
        <v>5</v>
      </c>
    </row>
    <row r="20" spans="2:4" ht="30.75" thickBot="1" x14ac:dyDescent="0.3">
      <c r="B20" s="8" t="s">
        <v>38</v>
      </c>
      <c r="C20" s="6" t="s">
        <v>39</v>
      </c>
      <c r="D20" s="6" t="s">
        <v>5</v>
      </c>
    </row>
    <row r="21" spans="2:4" ht="30.75" thickBot="1" x14ac:dyDescent="0.3">
      <c r="B21" s="8" t="s">
        <v>40</v>
      </c>
      <c r="C21" s="6" t="s">
        <v>41</v>
      </c>
      <c r="D21" s="6" t="s">
        <v>5</v>
      </c>
    </row>
    <row r="22" spans="2:4" ht="30.75" thickBot="1" x14ac:dyDescent="0.3">
      <c r="B22" s="8" t="s">
        <v>42</v>
      </c>
      <c r="C22" s="6" t="s">
        <v>43</v>
      </c>
      <c r="D22" s="6" t="s">
        <v>5</v>
      </c>
    </row>
    <row r="23" spans="2:4" ht="30.75" thickBot="1" x14ac:dyDescent="0.3">
      <c r="B23" s="8" t="s">
        <v>44</v>
      </c>
      <c r="C23" s="6" t="s">
        <v>45</v>
      </c>
      <c r="D23" s="6" t="s">
        <v>5</v>
      </c>
    </row>
    <row r="24" spans="2:4" ht="30.75" thickBot="1" x14ac:dyDescent="0.3">
      <c r="B24" s="8" t="s">
        <v>46</v>
      </c>
      <c r="C24" s="6" t="s">
        <v>47</v>
      </c>
      <c r="D24" s="6" t="s">
        <v>5</v>
      </c>
    </row>
    <row r="25" spans="2:4" ht="45.75" thickBot="1" x14ac:dyDescent="0.3">
      <c r="B25" s="8" t="s">
        <v>48</v>
      </c>
      <c r="C25" s="6" t="s">
        <v>49</v>
      </c>
      <c r="D25" s="6" t="s">
        <v>5</v>
      </c>
    </row>
    <row r="26" spans="2:4" ht="30.75" thickBot="1" x14ac:dyDescent="0.3">
      <c r="B26" s="8" t="s">
        <v>50</v>
      </c>
      <c r="C26" s="6" t="s">
        <v>51</v>
      </c>
      <c r="D26" s="6" t="s">
        <v>5</v>
      </c>
    </row>
    <row r="27" spans="2:4" ht="30.75" thickBot="1" x14ac:dyDescent="0.3">
      <c r="B27" s="8" t="s">
        <v>52</v>
      </c>
      <c r="C27" s="6" t="s">
        <v>53</v>
      </c>
      <c r="D27" s="6" t="s">
        <v>5</v>
      </c>
    </row>
    <row r="28" spans="2:4" ht="30.75" thickBot="1" x14ac:dyDescent="0.3">
      <c r="B28" s="8" t="s">
        <v>54</v>
      </c>
      <c r="C28" s="6" t="s">
        <v>55</v>
      </c>
      <c r="D28" s="6" t="s">
        <v>5</v>
      </c>
    </row>
    <row r="29" spans="2:4" ht="30.75" thickBot="1" x14ac:dyDescent="0.3">
      <c r="B29" s="8" t="s">
        <v>56</v>
      </c>
      <c r="C29" s="6" t="s">
        <v>57</v>
      </c>
      <c r="D29" s="6" t="s">
        <v>5</v>
      </c>
    </row>
    <row r="30" spans="2:4" ht="30.75" thickBot="1" x14ac:dyDescent="0.3">
      <c r="B30" s="8" t="s">
        <v>58</v>
      </c>
      <c r="C30" s="6" t="s">
        <v>59</v>
      </c>
      <c r="D30" s="6" t="s">
        <v>5</v>
      </c>
    </row>
    <row r="31" spans="2:4" ht="30.75" thickBot="1" x14ac:dyDescent="0.3">
      <c r="B31" s="8" t="s">
        <v>60</v>
      </c>
      <c r="C31" s="6" t="s">
        <v>61</v>
      </c>
      <c r="D31" s="6" t="s">
        <v>5</v>
      </c>
    </row>
    <row r="32" spans="2:4" ht="30.75" thickBot="1" x14ac:dyDescent="0.3">
      <c r="B32" s="8" t="s">
        <v>62</v>
      </c>
      <c r="C32" s="6" t="s">
        <v>63</v>
      </c>
      <c r="D32" s="6" t="s">
        <v>5</v>
      </c>
    </row>
    <row r="33" spans="2:4" ht="30.75" thickBot="1" x14ac:dyDescent="0.3">
      <c r="B33" s="8" t="s">
        <v>64</v>
      </c>
      <c r="C33" s="6" t="s">
        <v>65</v>
      </c>
      <c r="D33" s="6" t="s">
        <v>5</v>
      </c>
    </row>
    <row r="34" spans="2:4" ht="30.75" thickBot="1" x14ac:dyDescent="0.3">
      <c r="B34" s="8" t="s">
        <v>66</v>
      </c>
      <c r="C34" s="6" t="s">
        <v>67</v>
      </c>
      <c r="D34" s="6" t="s">
        <v>5</v>
      </c>
    </row>
    <row r="35" spans="2:4" ht="30.75" thickBot="1" x14ac:dyDescent="0.3">
      <c r="B35" s="8" t="s">
        <v>68</v>
      </c>
      <c r="C35" s="6" t="s">
        <v>69</v>
      </c>
      <c r="D35" s="6" t="s">
        <v>5</v>
      </c>
    </row>
    <row r="36" spans="2:4" ht="45.75" thickBot="1" x14ac:dyDescent="0.3">
      <c r="B36" s="8" t="s">
        <v>70</v>
      </c>
      <c r="C36" s="6" t="s">
        <v>71</v>
      </c>
      <c r="D36" s="6" t="s">
        <v>5</v>
      </c>
    </row>
    <row r="37" spans="2:4" ht="30.75" thickBot="1" x14ac:dyDescent="0.3">
      <c r="B37" s="8" t="s">
        <v>72</v>
      </c>
      <c r="C37" s="6" t="s">
        <v>73</v>
      </c>
      <c r="D37" s="6" t="s">
        <v>74</v>
      </c>
    </row>
    <row r="38" spans="2:4" ht="30.75" thickBot="1" x14ac:dyDescent="0.3">
      <c r="B38" s="8" t="s">
        <v>75</v>
      </c>
      <c r="C38" s="6" t="s">
        <v>76</v>
      </c>
      <c r="D38" s="6" t="s">
        <v>74</v>
      </c>
    </row>
    <row r="39" spans="2:4" ht="30.75" thickBot="1" x14ac:dyDescent="0.3">
      <c r="B39" s="8" t="s">
        <v>77</v>
      </c>
      <c r="C39" s="6" t="s">
        <v>78</v>
      </c>
      <c r="D39" s="6" t="s">
        <v>74</v>
      </c>
    </row>
    <row r="40" spans="2:4" ht="30.75" thickBot="1" x14ac:dyDescent="0.3">
      <c r="B40" s="8" t="s">
        <v>79</v>
      </c>
      <c r="C40" s="6" t="s">
        <v>80</v>
      </c>
      <c r="D40" s="6" t="s">
        <v>74</v>
      </c>
    </row>
    <row r="41" spans="2:4" ht="30.75" thickBot="1" x14ac:dyDescent="0.3">
      <c r="B41" s="8" t="s">
        <v>81</v>
      </c>
      <c r="C41" s="6" t="s">
        <v>82</v>
      </c>
      <c r="D41" s="6" t="s">
        <v>74</v>
      </c>
    </row>
    <row r="42" spans="2:4" ht="30.75" thickBot="1" x14ac:dyDescent="0.3">
      <c r="B42" s="8" t="s">
        <v>83</v>
      </c>
      <c r="C42" s="6" t="s">
        <v>84</v>
      </c>
      <c r="D42" s="6" t="s">
        <v>74</v>
      </c>
    </row>
    <row r="43" spans="2:4" ht="30.75" thickBot="1" x14ac:dyDescent="0.3">
      <c r="B43" s="8" t="s">
        <v>85</v>
      </c>
      <c r="C43" s="6" t="s">
        <v>86</v>
      </c>
      <c r="D43" s="6" t="s">
        <v>74</v>
      </c>
    </row>
    <row r="44" spans="2:4" ht="30.75" thickBot="1" x14ac:dyDescent="0.3">
      <c r="B44" s="8" t="s">
        <v>87</v>
      </c>
      <c r="C44" s="6" t="s">
        <v>88</v>
      </c>
      <c r="D44" s="6" t="s">
        <v>74</v>
      </c>
    </row>
    <row r="45" spans="2:4" ht="30.75" thickBot="1" x14ac:dyDescent="0.3">
      <c r="B45" s="8" t="s">
        <v>89</v>
      </c>
      <c r="C45" s="6" t="s">
        <v>90</v>
      </c>
      <c r="D45" s="6" t="s">
        <v>74</v>
      </c>
    </row>
    <row r="46" spans="2:4" ht="30.75" thickBot="1" x14ac:dyDescent="0.3">
      <c r="B46" s="8" t="s">
        <v>91</v>
      </c>
      <c r="C46" s="6" t="s">
        <v>92</v>
      </c>
      <c r="D46" s="6" t="s">
        <v>74</v>
      </c>
    </row>
    <row r="47" spans="2:4" ht="30.75" thickBot="1" x14ac:dyDescent="0.3">
      <c r="B47" s="8" t="s">
        <v>93</v>
      </c>
      <c r="C47" s="6" t="s">
        <v>94</v>
      </c>
      <c r="D47" s="6" t="s">
        <v>74</v>
      </c>
    </row>
    <row r="48" spans="2:4" ht="30.75" thickBot="1" x14ac:dyDescent="0.3">
      <c r="B48" s="8" t="s">
        <v>95</v>
      </c>
      <c r="C48" s="6" t="s">
        <v>96</v>
      </c>
      <c r="D48" s="6" t="s">
        <v>74</v>
      </c>
    </row>
    <row r="49" spans="2:4" ht="30.75" thickBot="1" x14ac:dyDescent="0.3">
      <c r="B49" s="8" t="s">
        <v>97</v>
      </c>
      <c r="C49" s="6" t="s">
        <v>98</v>
      </c>
      <c r="D49" s="6" t="s">
        <v>74</v>
      </c>
    </row>
    <row r="50" spans="2:4" ht="30.75" thickBot="1" x14ac:dyDescent="0.3">
      <c r="B50" s="8" t="s">
        <v>99</v>
      </c>
      <c r="C50" s="6" t="s">
        <v>100</v>
      </c>
      <c r="D50" s="6" t="s">
        <v>74</v>
      </c>
    </row>
    <row r="51" spans="2:4" ht="30.75" thickBot="1" x14ac:dyDescent="0.3">
      <c r="B51" s="8" t="s">
        <v>101</v>
      </c>
      <c r="C51" s="6" t="s">
        <v>102</v>
      </c>
      <c r="D51" s="6" t="s">
        <v>74</v>
      </c>
    </row>
    <row r="52" spans="2:4" ht="30.75" thickBot="1" x14ac:dyDescent="0.3">
      <c r="B52" s="8" t="s">
        <v>103</v>
      </c>
      <c r="C52" s="6" t="s">
        <v>104</v>
      </c>
      <c r="D52" s="6" t="s">
        <v>74</v>
      </c>
    </row>
    <row r="53" spans="2:4" ht="30.75" thickBot="1" x14ac:dyDescent="0.3">
      <c r="B53" s="8" t="s">
        <v>105</v>
      </c>
      <c r="C53" s="6" t="s">
        <v>106</v>
      </c>
      <c r="D53" s="6" t="s">
        <v>74</v>
      </c>
    </row>
    <row r="54" spans="2:4" ht="30.75" thickBot="1" x14ac:dyDescent="0.3">
      <c r="B54" s="8" t="s">
        <v>107</v>
      </c>
      <c r="C54" s="6" t="s">
        <v>108</v>
      </c>
      <c r="D54" s="6" t="s">
        <v>74</v>
      </c>
    </row>
    <row r="55" spans="2:4" ht="30.75" thickBot="1" x14ac:dyDescent="0.3">
      <c r="B55" s="8" t="s">
        <v>109</v>
      </c>
      <c r="C55" s="6" t="s">
        <v>110</v>
      </c>
      <c r="D55" s="6" t="s">
        <v>74</v>
      </c>
    </row>
    <row r="56" spans="2:4" ht="30.75" thickBot="1" x14ac:dyDescent="0.3">
      <c r="B56" s="8" t="s">
        <v>111</v>
      </c>
      <c r="C56" s="6" t="s">
        <v>112</v>
      </c>
      <c r="D56" s="6" t="s">
        <v>74</v>
      </c>
    </row>
    <row r="57" spans="2:4" ht="30.75" thickBot="1" x14ac:dyDescent="0.3">
      <c r="B57" s="8" t="s">
        <v>113</v>
      </c>
      <c r="C57" s="6" t="s">
        <v>114</v>
      </c>
      <c r="D57" s="6" t="s">
        <v>74</v>
      </c>
    </row>
    <row r="58" spans="2:4" ht="30.75" thickBot="1" x14ac:dyDescent="0.3">
      <c r="B58" s="8" t="s">
        <v>115</v>
      </c>
      <c r="C58" s="6" t="s">
        <v>116</v>
      </c>
      <c r="D58" s="6" t="s">
        <v>74</v>
      </c>
    </row>
    <row r="59" spans="2:4" ht="30.75" thickBot="1" x14ac:dyDescent="0.3">
      <c r="B59" s="8" t="s">
        <v>117</v>
      </c>
      <c r="C59" s="6" t="s">
        <v>118</v>
      </c>
      <c r="D59" s="6" t="s">
        <v>74</v>
      </c>
    </row>
    <row r="60" spans="2:4" ht="30.75" thickBot="1" x14ac:dyDescent="0.3">
      <c r="B60" s="8" t="s">
        <v>119</v>
      </c>
      <c r="C60" s="6" t="s">
        <v>120</v>
      </c>
      <c r="D60" s="6" t="s">
        <v>74</v>
      </c>
    </row>
    <row r="61" spans="2:4" ht="30.75" thickBot="1" x14ac:dyDescent="0.3">
      <c r="B61" s="8" t="s">
        <v>121</v>
      </c>
      <c r="C61" s="6" t="s">
        <v>122</v>
      </c>
      <c r="D61" s="6" t="s">
        <v>74</v>
      </c>
    </row>
    <row r="62" spans="2:4" ht="30.75" thickBot="1" x14ac:dyDescent="0.3">
      <c r="B62" s="8" t="s">
        <v>123</v>
      </c>
      <c r="C62" s="6" t="s">
        <v>124</v>
      </c>
      <c r="D62" s="6" t="s">
        <v>74</v>
      </c>
    </row>
    <row r="63" spans="2:4" ht="19.5" customHeight="1" thickBot="1" x14ac:dyDescent="0.3">
      <c r="B63" s="8" t="s">
        <v>125</v>
      </c>
      <c r="C63" s="6" t="s">
        <v>126</v>
      </c>
      <c r="D63" s="6" t="s">
        <v>74</v>
      </c>
    </row>
    <row r="64" spans="2:4" ht="21" customHeight="1" thickBot="1" x14ac:dyDescent="0.3">
      <c r="B64" s="8" t="s">
        <v>127</v>
      </c>
      <c r="C64" s="6" t="s">
        <v>128</v>
      </c>
      <c r="D64" s="6" t="s">
        <v>74</v>
      </c>
    </row>
    <row r="65" spans="2:4" ht="21" customHeight="1" thickBot="1" x14ac:dyDescent="0.3">
      <c r="B65" s="8" t="s">
        <v>129</v>
      </c>
      <c r="C65" s="6" t="s">
        <v>130</v>
      </c>
      <c r="D65" s="6" t="s">
        <v>74</v>
      </c>
    </row>
    <row r="66" spans="2:4" ht="21" customHeight="1" thickBot="1" x14ac:dyDescent="0.3">
      <c r="B66" s="8" t="s">
        <v>131</v>
      </c>
      <c r="C66" s="6" t="s">
        <v>132</v>
      </c>
      <c r="D66" s="6" t="s">
        <v>74</v>
      </c>
    </row>
    <row r="67" spans="2:4" ht="21" customHeight="1" thickBot="1" x14ac:dyDescent="0.3">
      <c r="B67" s="8" t="s">
        <v>133</v>
      </c>
      <c r="C67" s="6" t="s">
        <v>134</v>
      </c>
      <c r="D67" s="6" t="s">
        <v>74</v>
      </c>
    </row>
    <row r="68" spans="2:4" ht="30.75" thickBot="1" x14ac:dyDescent="0.3">
      <c r="B68" s="8" t="s">
        <v>135</v>
      </c>
      <c r="C68" s="6" t="s">
        <v>136</v>
      </c>
      <c r="D68" s="6" t="s">
        <v>74</v>
      </c>
    </row>
    <row r="69" spans="2:4" ht="21" customHeight="1" thickBot="1" x14ac:dyDescent="0.3">
      <c r="B69" s="8" t="s">
        <v>137</v>
      </c>
      <c r="C69" s="6" t="s">
        <v>138</v>
      </c>
      <c r="D69" s="6" t="s">
        <v>74</v>
      </c>
    </row>
    <row r="70" spans="2:4" ht="21" customHeight="1" thickBot="1" x14ac:dyDescent="0.3">
      <c r="B70" s="8" t="s">
        <v>139</v>
      </c>
      <c r="C70" s="6" t="s">
        <v>140</v>
      </c>
      <c r="D70" s="6" t="s">
        <v>74</v>
      </c>
    </row>
    <row r="71" spans="2:4" ht="30.75" thickBot="1" x14ac:dyDescent="0.3">
      <c r="B71" s="8" t="s">
        <v>141</v>
      </c>
      <c r="C71" s="6" t="s">
        <v>142</v>
      </c>
      <c r="D71" s="6" t="s">
        <v>74</v>
      </c>
    </row>
    <row r="72" spans="2:4" ht="21" customHeight="1" thickBot="1" x14ac:dyDescent="0.3">
      <c r="B72" s="8" t="s">
        <v>143</v>
      </c>
      <c r="C72" s="6" t="s">
        <v>144</v>
      </c>
      <c r="D72" s="6" t="s">
        <v>74</v>
      </c>
    </row>
    <row r="73" spans="2:4" ht="30.75" thickBot="1" x14ac:dyDescent="0.3">
      <c r="B73" s="8" t="s">
        <v>145</v>
      </c>
      <c r="C73" s="6" t="s">
        <v>146</v>
      </c>
      <c r="D73" s="6" t="s">
        <v>74</v>
      </c>
    </row>
    <row r="74" spans="2:4" ht="21" customHeight="1" thickBot="1" x14ac:dyDescent="0.3">
      <c r="B74" s="8" t="s">
        <v>147</v>
      </c>
      <c r="C74" s="6" t="s">
        <v>148</v>
      </c>
      <c r="D74" s="6" t="s">
        <v>74</v>
      </c>
    </row>
    <row r="75" spans="2:4" ht="21" customHeight="1" thickBot="1" x14ac:dyDescent="0.3">
      <c r="B75" s="8" t="s">
        <v>149</v>
      </c>
      <c r="C75" s="6" t="s">
        <v>150</v>
      </c>
      <c r="D75" s="6" t="s">
        <v>74</v>
      </c>
    </row>
    <row r="76" spans="2:4" ht="21" customHeight="1" thickBot="1" x14ac:dyDescent="0.3">
      <c r="B76" s="8" t="s">
        <v>151</v>
      </c>
      <c r="C76" s="6" t="s">
        <v>152</v>
      </c>
      <c r="D76" s="6" t="s">
        <v>74</v>
      </c>
    </row>
    <row r="77" spans="2:4" ht="21" customHeight="1" thickBot="1" x14ac:dyDescent="0.3">
      <c r="B77" s="8" t="s">
        <v>153</v>
      </c>
      <c r="C77" s="6" t="s">
        <v>154</v>
      </c>
      <c r="D77" s="6" t="s">
        <v>74</v>
      </c>
    </row>
    <row r="78" spans="2:4" ht="21" customHeight="1" thickBot="1" x14ac:dyDescent="0.3">
      <c r="B78" s="8" t="s">
        <v>155</v>
      </c>
      <c r="C78" s="6" t="s">
        <v>156</v>
      </c>
      <c r="D78" s="6" t="s">
        <v>74</v>
      </c>
    </row>
    <row r="79" spans="2:4" ht="21" customHeight="1" thickBot="1" x14ac:dyDescent="0.3">
      <c r="B79" s="8" t="s">
        <v>157</v>
      </c>
      <c r="C79" s="6" t="s">
        <v>158</v>
      </c>
      <c r="D79" s="6" t="s">
        <v>74</v>
      </c>
    </row>
    <row r="80" spans="2:4" ht="21" customHeight="1" thickBot="1" x14ac:dyDescent="0.3">
      <c r="B80" s="8" t="s">
        <v>159</v>
      </c>
      <c r="C80" s="6" t="s">
        <v>160</v>
      </c>
      <c r="D80" s="6" t="s">
        <v>74</v>
      </c>
    </row>
    <row r="81" spans="2:4" ht="21" customHeight="1" thickBot="1" x14ac:dyDescent="0.3">
      <c r="B81" s="8" t="s">
        <v>161</v>
      </c>
      <c r="C81" s="6" t="s">
        <v>162</v>
      </c>
      <c r="D81" s="6" t="s">
        <v>74</v>
      </c>
    </row>
    <row r="82" spans="2:4" ht="15.75" thickBot="1" x14ac:dyDescent="0.3">
      <c r="B82" s="8" t="s">
        <v>163</v>
      </c>
      <c r="C82" s="6" t="s">
        <v>164</v>
      </c>
      <c r="D82" s="6" t="s">
        <v>74</v>
      </c>
    </row>
    <row r="83" spans="2:4" ht="21" customHeight="1" thickBot="1" x14ac:dyDescent="0.3">
      <c r="B83" s="8" t="s">
        <v>165</v>
      </c>
      <c r="C83" s="6" t="s">
        <v>166</v>
      </c>
      <c r="D83" s="6" t="s">
        <v>74</v>
      </c>
    </row>
    <row r="84" spans="2:4" ht="15.75" thickBot="1" x14ac:dyDescent="0.3">
      <c r="B84" s="8" t="s">
        <v>167</v>
      </c>
      <c r="C84" s="6" t="s">
        <v>168</v>
      </c>
      <c r="D84" s="6" t="s">
        <v>74</v>
      </c>
    </row>
    <row r="85" spans="2:4" ht="15.75" thickBot="1" x14ac:dyDescent="0.3">
      <c r="B85" s="8" t="s">
        <v>169</v>
      </c>
      <c r="C85" s="6" t="s">
        <v>170</v>
      </c>
      <c r="D85" s="6" t="s">
        <v>74</v>
      </c>
    </row>
    <row r="86" spans="2:4" ht="15.75" thickBot="1" x14ac:dyDescent="0.3">
      <c r="B86" s="8" t="s">
        <v>171</v>
      </c>
      <c r="C86" s="6" t="s">
        <v>172</v>
      </c>
      <c r="D86" s="6" t="s">
        <v>74</v>
      </c>
    </row>
    <row r="87" spans="2:4" ht="15.75" thickBot="1" x14ac:dyDescent="0.3">
      <c r="B87" s="8" t="s">
        <v>173</v>
      </c>
      <c r="C87" s="6" t="s">
        <v>174</v>
      </c>
      <c r="D87" s="6" t="s">
        <v>74</v>
      </c>
    </row>
    <row r="88" spans="2:4" ht="15.75" thickBot="1" x14ac:dyDescent="0.3">
      <c r="B88" s="8" t="s">
        <v>175</v>
      </c>
      <c r="C88" s="6" t="s">
        <v>176</v>
      </c>
      <c r="D88" s="6" t="s">
        <v>74</v>
      </c>
    </row>
    <row r="89" spans="2:4" ht="15.75" thickBot="1" x14ac:dyDescent="0.3">
      <c r="B89" s="8" t="s">
        <v>177</v>
      </c>
      <c r="C89" s="6" t="s">
        <v>178</v>
      </c>
      <c r="D89" s="6" t="s">
        <v>74</v>
      </c>
    </row>
    <row r="90" spans="2:4" ht="15.75" thickBot="1" x14ac:dyDescent="0.3">
      <c r="B90" s="8" t="s">
        <v>179</v>
      </c>
      <c r="C90" s="6" t="s">
        <v>180</v>
      </c>
      <c r="D90" s="6" t="s">
        <v>74</v>
      </c>
    </row>
    <row r="91" spans="2:4" ht="15.75" thickBot="1" x14ac:dyDescent="0.3">
      <c r="B91" s="8" t="s">
        <v>181</v>
      </c>
      <c r="C91" s="6" t="s">
        <v>182</v>
      </c>
      <c r="D91" s="6" t="s">
        <v>74</v>
      </c>
    </row>
    <row r="92" spans="2:4" ht="15.75" thickBot="1" x14ac:dyDescent="0.3">
      <c r="B92" s="8" t="s">
        <v>183</v>
      </c>
      <c r="C92" s="6" t="s">
        <v>184</v>
      </c>
      <c r="D92" s="6" t="s">
        <v>74</v>
      </c>
    </row>
    <row r="93" spans="2:4" ht="15.75" thickBot="1" x14ac:dyDescent="0.3">
      <c r="B93" s="8" t="s">
        <v>185</v>
      </c>
      <c r="C93" s="6" t="s">
        <v>186</v>
      </c>
      <c r="D93" s="6" t="s">
        <v>74</v>
      </c>
    </row>
    <row r="94" spans="2:4" ht="15.75" thickBot="1" x14ac:dyDescent="0.3">
      <c r="B94" s="8" t="s">
        <v>187</v>
      </c>
      <c r="C94" s="6" t="s">
        <v>188</v>
      </c>
      <c r="D94" s="6" t="s">
        <v>74</v>
      </c>
    </row>
    <row r="95" spans="2:4" ht="45.75" thickBot="1" x14ac:dyDescent="0.3">
      <c r="B95" s="8" t="s">
        <v>189</v>
      </c>
      <c r="C95" s="5" t="s">
        <v>190</v>
      </c>
      <c r="D95" s="6" t="s">
        <v>74</v>
      </c>
    </row>
    <row r="96" spans="2:4" ht="15.75" thickBot="1" x14ac:dyDescent="0.3">
      <c r="B96" s="8" t="s">
        <v>191</v>
      </c>
      <c r="C96" s="6" t="s">
        <v>192</v>
      </c>
      <c r="D96" s="6" t="s">
        <v>74</v>
      </c>
    </row>
    <row r="97" spans="2:7" ht="15.75" thickBot="1" x14ac:dyDescent="0.3">
      <c r="B97" s="8" t="s">
        <v>193</v>
      </c>
      <c r="C97" s="6" t="s">
        <v>194</v>
      </c>
      <c r="D97" s="6" t="s">
        <v>74</v>
      </c>
      <c r="G97" t="s">
        <v>195</v>
      </c>
    </row>
    <row r="98" spans="2:7" ht="15.75" thickBot="1" x14ac:dyDescent="0.3">
      <c r="B98" s="8" t="s">
        <v>196</v>
      </c>
      <c r="C98" s="6" t="s">
        <v>197</v>
      </c>
      <c r="D98" s="6" t="s">
        <v>74</v>
      </c>
    </row>
    <row r="99" spans="2:7" ht="15.75" thickBot="1" x14ac:dyDescent="0.3">
      <c r="B99" s="8" t="s">
        <v>109</v>
      </c>
      <c r="C99" s="6" t="s">
        <v>198</v>
      </c>
      <c r="D99" s="6" t="s">
        <v>74</v>
      </c>
    </row>
    <row r="100" spans="2:7" ht="15.75" thickBot="1" x14ac:dyDescent="0.3">
      <c r="B100" s="8" t="s">
        <v>199</v>
      </c>
      <c r="C100" s="6" t="s">
        <v>200</v>
      </c>
      <c r="D100" s="6" t="s">
        <v>74</v>
      </c>
    </row>
    <row r="101" spans="2:7" ht="15.75" thickBot="1" x14ac:dyDescent="0.3">
      <c r="B101" s="8" t="s">
        <v>201</v>
      </c>
      <c r="C101" s="6" t="s">
        <v>202</v>
      </c>
      <c r="D101" s="6" t="s">
        <v>74</v>
      </c>
    </row>
    <row r="102" spans="2:7" ht="15.75" thickBot="1" x14ac:dyDescent="0.3">
      <c r="B102" s="8" t="s">
        <v>203</v>
      </c>
      <c r="C102" s="6" t="s">
        <v>204</v>
      </c>
      <c r="D102" s="6" t="s">
        <v>74</v>
      </c>
    </row>
    <row r="103" spans="2:7" ht="15.75" thickBot="1" x14ac:dyDescent="0.3">
      <c r="B103" s="8" t="s">
        <v>205</v>
      </c>
      <c r="C103" s="6" t="s">
        <v>206</v>
      </c>
      <c r="D103" s="6" t="s">
        <v>74</v>
      </c>
    </row>
    <row r="104" spans="2:7" ht="15.75" thickBot="1" x14ac:dyDescent="0.3">
      <c r="B104" s="8" t="s">
        <v>207</v>
      </c>
      <c r="C104" s="6" t="s">
        <v>208</v>
      </c>
      <c r="D104" s="6" t="s">
        <v>74</v>
      </c>
    </row>
    <row r="105" spans="2:7" ht="15.75" thickBot="1" x14ac:dyDescent="0.3">
      <c r="B105" s="8" t="s">
        <v>209</v>
      </c>
      <c r="C105" s="6" t="s">
        <v>210</v>
      </c>
      <c r="D105" s="6" t="s">
        <v>74</v>
      </c>
    </row>
    <row r="106" spans="2:7" ht="15.75" thickBot="1" x14ac:dyDescent="0.3">
      <c r="B106" s="8" t="s">
        <v>211</v>
      </c>
      <c r="C106" s="6" t="s">
        <v>212</v>
      </c>
      <c r="D106" s="6" t="s">
        <v>74</v>
      </c>
    </row>
    <row r="107" spans="2:7" ht="15.75" thickBot="1" x14ac:dyDescent="0.3">
      <c r="B107" s="8" t="s">
        <v>213</v>
      </c>
      <c r="C107" s="6" t="s">
        <v>214</v>
      </c>
      <c r="D107" s="6" t="s">
        <v>74</v>
      </c>
    </row>
    <row r="108" spans="2:7" ht="15.75" thickBot="1" x14ac:dyDescent="0.3">
      <c r="B108" s="8" t="s">
        <v>215</v>
      </c>
      <c r="C108" s="6" t="s">
        <v>216</v>
      </c>
      <c r="D108" s="6" t="s">
        <v>74</v>
      </c>
    </row>
    <row r="109" spans="2:7" ht="15.75" thickBot="1" x14ac:dyDescent="0.3">
      <c r="B109" s="8" t="s">
        <v>217</v>
      </c>
      <c r="C109" s="6" t="s">
        <v>218</v>
      </c>
      <c r="D109" s="6" t="s">
        <v>74</v>
      </c>
    </row>
    <row r="110" spans="2:7" ht="30.75" thickBot="1" x14ac:dyDescent="0.3">
      <c r="B110" s="8" t="s">
        <v>219</v>
      </c>
      <c r="C110" s="6" t="s">
        <v>220</v>
      </c>
      <c r="D110" s="6" t="s">
        <v>74</v>
      </c>
    </row>
    <row r="111" spans="2:7" ht="30.75" thickBot="1" x14ac:dyDescent="0.3">
      <c r="B111" s="8" t="s">
        <v>221</v>
      </c>
      <c r="C111" s="6" t="s">
        <v>222</v>
      </c>
      <c r="D111" s="6" t="s">
        <v>74</v>
      </c>
      <c r="G111" s="14"/>
    </row>
    <row r="112" spans="2:7" ht="30.75" thickBot="1" x14ac:dyDescent="0.3">
      <c r="B112" s="8" t="s">
        <v>223</v>
      </c>
      <c r="C112" s="6" t="s">
        <v>224</v>
      </c>
      <c r="D112" s="6" t="s">
        <v>74</v>
      </c>
    </row>
    <row r="113" spans="2:4" ht="30.75" thickBot="1" x14ac:dyDescent="0.3">
      <c r="B113" s="8" t="s">
        <v>225</v>
      </c>
      <c r="C113" s="6" t="s">
        <v>226</v>
      </c>
      <c r="D113" s="6" t="s">
        <v>74</v>
      </c>
    </row>
    <row r="114" spans="2:4" ht="15.75" thickBot="1" x14ac:dyDescent="0.3">
      <c r="B114" s="8" t="s">
        <v>227</v>
      </c>
      <c r="C114" s="6" t="s">
        <v>228</v>
      </c>
      <c r="D114" s="6" t="s">
        <v>74</v>
      </c>
    </row>
    <row r="115" spans="2:4" ht="15.75" thickBot="1" x14ac:dyDescent="0.3">
      <c r="B115" s="8" t="s">
        <v>229</v>
      </c>
      <c r="C115" s="6" t="s">
        <v>230</v>
      </c>
      <c r="D115" s="6" t="s">
        <v>74</v>
      </c>
    </row>
    <row r="116" spans="2:4" ht="15.75" thickBot="1" x14ac:dyDescent="0.3">
      <c r="B116" s="8" t="s">
        <v>231</v>
      </c>
      <c r="C116" s="6" t="s">
        <v>232</v>
      </c>
      <c r="D116" s="6" t="s">
        <v>74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154C1-2CDF-4290-8843-57C3779A919C}">
  <sheetPr codeName="Hoja2"/>
  <dimension ref="B3:H12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8" max="8" width="33.42578125" customWidth="1"/>
  </cols>
  <sheetData>
    <row r="3" spans="2:8" ht="52.5" customHeight="1" x14ac:dyDescent="0.25">
      <c r="B3" s="22" t="s">
        <v>352</v>
      </c>
      <c r="C3" s="23"/>
      <c r="D3" s="23"/>
      <c r="E3" s="23"/>
      <c r="F3" s="23"/>
      <c r="G3" s="23"/>
      <c r="H3" s="23"/>
    </row>
    <row r="4" spans="2:8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8" s="2" customFormat="1" x14ac:dyDescent="0.25">
      <c r="B5" s="3" t="s">
        <v>359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362</v>
      </c>
    </row>
    <row r="6" spans="2:8" s="2" customFormat="1" ht="30" x14ac:dyDescent="0.25">
      <c r="B6" s="3" t="s">
        <v>363</v>
      </c>
      <c r="C6" s="3" t="s">
        <v>360</v>
      </c>
      <c r="D6" s="3"/>
      <c r="E6" s="3"/>
      <c r="F6" s="3"/>
      <c r="G6" s="3"/>
      <c r="H6" s="5" t="s">
        <v>364</v>
      </c>
    </row>
    <row r="7" spans="2:8" s="2" customFormat="1" x14ac:dyDescent="0.25">
      <c r="B7" s="3" t="s">
        <v>365</v>
      </c>
      <c r="C7" s="3" t="s">
        <v>366</v>
      </c>
      <c r="D7" s="3"/>
      <c r="E7" s="3" t="s">
        <v>361</v>
      </c>
      <c r="F7" s="3"/>
      <c r="G7" s="3"/>
      <c r="H7" s="5" t="s">
        <v>269</v>
      </c>
    </row>
    <row r="8" spans="2:8" s="2" customFormat="1" x14ac:dyDescent="0.25">
      <c r="B8" s="3" t="s">
        <v>367</v>
      </c>
      <c r="C8" s="3" t="s">
        <v>366</v>
      </c>
      <c r="D8" s="3"/>
      <c r="E8" s="3"/>
      <c r="F8" s="3"/>
      <c r="G8" s="3"/>
      <c r="H8" s="5" t="s">
        <v>271</v>
      </c>
    </row>
    <row r="9" spans="2:8" x14ac:dyDescent="0.25">
      <c r="B9" s="3" t="s">
        <v>368</v>
      </c>
      <c r="C9" s="3" t="s">
        <v>366</v>
      </c>
      <c r="D9" s="3"/>
      <c r="E9" s="3" t="s">
        <v>361</v>
      </c>
      <c r="F9" s="3"/>
      <c r="G9" s="3"/>
      <c r="H9" s="5" t="s">
        <v>369</v>
      </c>
    </row>
    <row r="10" spans="2:8" x14ac:dyDescent="0.25">
      <c r="B10" s="3" t="s">
        <v>370</v>
      </c>
      <c r="C10" s="3" t="s">
        <v>366</v>
      </c>
      <c r="D10" s="3"/>
      <c r="E10" s="3"/>
      <c r="F10" s="3"/>
      <c r="G10" s="3"/>
      <c r="H10" s="5" t="s">
        <v>275</v>
      </c>
    </row>
    <row r="11" spans="2:8" x14ac:dyDescent="0.25">
      <c r="B11" s="3" t="s">
        <v>371</v>
      </c>
      <c r="C11" s="3" t="s">
        <v>372</v>
      </c>
      <c r="D11" s="3"/>
      <c r="E11" s="3" t="s">
        <v>361</v>
      </c>
      <c r="F11" s="3"/>
      <c r="G11" s="3"/>
      <c r="H11" s="5" t="s">
        <v>278</v>
      </c>
    </row>
    <row r="12" spans="2:8" x14ac:dyDescent="0.25">
      <c r="B12" s="3" t="s">
        <v>373</v>
      </c>
      <c r="C12" s="3" t="s">
        <v>374</v>
      </c>
      <c r="D12" s="3"/>
      <c r="E12" s="3"/>
      <c r="F12" s="3"/>
      <c r="G12" s="3"/>
      <c r="H12" s="5" t="s">
        <v>281</v>
      </c>
    </row>
  </sheetData>
  <mergeCells count="1">
    <mergeCell ref="B3:H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01B25-7EEA-4B6A-B1CB-1C2A802A6819}">
  <sheetPr codeName="Hoja7"/>
  <dimension ref="B3:H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8" ht="52.5" customHeight="1" x14ac:dyDescent="0.25">
      <c r="B3" s="22" t="s">
        <v>375</v>
      </c>
      <c r="C3" s="23"/>
      <c r="D3" s="23"/>
      <c r="E3" s="23"/>
      <c r="F3" s="23"/>
      <c r="G3" s="23"/>
      <c r="H3" s="23"/>
    </row>
    <row r="4" spans="2:8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8" s="2" customFormat="1" ht="30" x14ac:dyDescent="0.25">
      <c r="B5" s="3" t="s">
        <v>376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377</v>
      </c>
    </row>
    <row r="6" spans="2:8" s="2" customFormat="1" ht="30" x14ac:dyDescent="0.25">
      <c r="B6" s="3" t="s">
        <v>378</v>
      </c>
      <c r="C6" s="3" t="s">
        <v>366</v>
      </c>
      <c r="D6" s="3"/>
      <c r="E6" s="3" t="s">
        <v>361</v>
      </c>
      <c r="F6" s="3"/>
      <c r="G6" s="3"/>
      <c r="H6" s="5" t="s">
        <v>379</v>
      </c>
    </row>
    <row r="7" spans="2:8" s="2" customFormat="1" x14ac:dyDescent="0.25">
      <c r="B7"/>
      <c r="C7"/>
      <c r="D7"/>
      <c r="E7"/>
      <c r="F7"/>
      <c r="G7"/>
      <c r="H7"/>
    </row>
    <row r="8" spans="2:8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4E4E-B01E-486A-BE8C-BBEC0DA16AB8}">
  <sheetPr codeName="Hoja12"/>
  <dimension ref="B3:J8"/>
  <sheetViews>
    <sheetView showGridLines="0" zoomScaleNormal="100" workbookViewId="0">
      <selection activeCell="C5" sqref="C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"&amp;UPPER(J3)</f>
        <v>TABLE SEX</v>
      </c>
      <c r="C3" s="23"/>
      <c r="D3" s="23"/>
      <c r="E3" s="23"/>
      <c r="F3" s="23"/>
      <c r="G3" s="23"/>
      <c r="H3" s="23"/>
      <c r="J3" t="s">
        <v>380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363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"&amp;J3</f>
        <v>Unique identifier of the sex</v>
      </c>
    </row>
    <row r="6" spans="2:10" s="2" customFormat="1" x14ac:dyDescent="0.25">
      <c r="B6" s="3" t="s">
        <v>381</v>
      </c>
      <c r="C6" s="3" t="s">
        <v>366</v>
      </c>
      <c r="D6" s="3"/>
      <c r="E6" s="3" t="s">
        <v>361</v>
      </c>
      <c r="F6" s="3"/>
      <c r="G6" s="3"/>
      <c r="H6" s="5" t="str">
        <f>"Name of the "&amp;J3</f>
        <v>Name of the sex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DAF6F-081C-4512-90DA-5ABD80E65184}">
  <sheetPr codeName="Hoja13"/>
  <dimension ref="B3:J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"&amp;UPPER(J3)</f>
        <v>TABLE NATIONALITY</v>
      </c>
      <c r="C3" s="23"/>
      <c r="D3" s="23"/>
      <c r="E3" s="23"/>
      <c r="F3" s="23"/>
      <c r="G3" s="23"/>
      <c r="H3" s="23"/>
      <c r="J3" t="s">
        <v>10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382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"&amp;LOWER(J3)</f>
        <v>Unique identifier of the nationality</v>
      </c>
    </row>
    <row r="6" spans="2:10" s="2" customFormat="1" x14ac:dyDescent="0.25">
      <c r="B6" s="3" t="s">
        <v>233</v>
      </c>
      <c r="C6" s="3" t="s">
        <v>366</v>
      </c>
      <c r="D6" s="3"/>
      <c r="E6" s="3" t="s">
        <v>361</v>
      </c>
      <c r="F6" s="3"/>
      <c r="G6" s="3"/>
      <c r="H6" s="5" t="str">
        <f>"Name of the "&amp;LOWER(J3)</f>
        <v>Name of the nationality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73C27-B164-4B11-B179-074160D5FA5E}">
  <sheetPr codeName="Hoja17"/>
  <dimension ref="B3:J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"&amp;UPPER(J3)</f>
        <v>TABLE COUNTRY</v>
      </c>
      <c r="C3" s="23"/>
      <c r="D3" s="23"/>
      <c r="E3" s="23"/>
      <c r="F3" s="23"/>
      <c r="G3" s="23"/>
      <c r="H3" s="23"/>
      <c r="J3" t="s">
        <v>383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384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"&amp;LOWER(J3)</f>
        <v>Unique identifier of the country</v>
      </c>
    </row>
    <row r="6" spans="2:10" s="2" customFormat="1" x14ac:dyDescent="0.25">
      <c r="B6" s="3" t="s">
        <v>385</v>
      </c>
      <c r="C6" s="3" t="s">
        <v>366</v>
      </c>
      <c r="D6" s="3"/>
      <c r="E6" s="3" t="s">
        <v>361</v>
      </c>
      <c r="F6" s="3"/>
      <c r="G6" s="3"/>
      <c r="H6" s="5" t="str">
        <f>"Name of the "&amp;LOWER(J3)</f>
        <v>Name of the country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63942-5C61-43A2-94C9-88AEFB78C483}">
  <sheetPr codeName="Hoja18"/>
  <dimension ref="B3:J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"&amp;UPPER(J3)</f>
        <v>TABLE CITY</v>
      </c>
      <c r="C3" s="23"/>
      <c r="D3" s="23"/>
      <c r="E3" s="23"/>
      <c r="F3" s="23"/>
      <c r="G3" s="23"/>
      <c r="H3" s="23"/>
      <c r="J3" t="s">
        <v>14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386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"&amp;LOWER(J3)</f>
        <v>Unique identifier of the city</v>
      </c>
    </row>
    <row r="6" spans="2:10" s="2" customFormat="1" ht="30" x14ac:dyDescent="0.25">
      <c r="B6" s="3" t="s">
        <v>384</v>
      </c>
      <c r="C6" s="3" t="s">
        <v>360</v>
      </c>
      <c r="D6" s="3"/>
      <c r="E6" s="3"/>
      <c r="F6" s="3"/>
      <c r="G6" s="3"/>
      <c r="H6" s="5" t="s">
        <v>387</v>
      </c>
    </row>
    <row r="7" spans="2:10" s="2" customFormat="1" x14ac:dyDescent="0.25">
      <c r="B7" s="3" t="s">
        <v>388</v>
      </c>
      <c r="C7" s="3" t="s">
        <v>366</v>
      </c>
      <c r="D7" s="3"/>
      <c r="E7" s="3" t="s">
        <v>361</v>
      </c>
      <c r="F7" s="3"/>
      <c r="G7" s="3"/>
      <c r="H7" s="5" t="str">
        <f>"Name of the "&amp;LOWER(J3)</f>
        <v>Name of the city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B8C1A-1436-4A0E-841F-1F351912DC1A}">
  <sheetPr codeName="Hoja19"/>
  <dimension ref="B3:J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RELATIVE</v>
      </c>
      <c r="C3" s="23"/>
      <c r="D3" s="23"/>
      <c r="E3" s="23"/>
      <c r="F3" s="23"/>
      <c r="G3" s="23"/>
      <c r="H3" s="23"/>
      <c r="J3" t="s">
        <v>16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389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relative</v>
      </c>
    </row>
    <row r="6" spans="2:10" s="2" customFormat="1" x14ac:dyDescent="0.25">
      <c r="B6" s="3" t="s">
        <v>390</v>
      </c>
      <c r="C6" s="3" t="s">
        <v>366</v>
      </c>
      <c r="D6" s="3"/>
      <c r="E6" s="3" t="s">
        <v>361</v>
      </c>
      <c r="F6" s="3"/>
      <c r="G6" s="3"/>
      <c r="H6" s="5" t="str">
        <f>"Name of the "&amp;LOWER($J$3)&amp;" type"</f>
        <v>Name of the relative type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EF97-D9EC-4A3A-8F47-49D53FB28DA2}">
  <sheetPr codeName="Hoja14"/>
  <dimension ref="B3:J8"/>
  <sheetViews>
    <sheetView showGridLines="0" zoomScaleNormal="100" workbookViewId="0">
      <selection activeCell="C6" sqref="C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NATIONALITYPERSON</v>
      </c>
      <c r="C3" s="23"/>
      <c r="D3" s="23"/>
      <c r="E3" s="23"/>
      <c r="F3" s="23"/>
      <c r="G3" s="23"/>
      <c r="H3" s="23"/>
      <c r="J3" t="s">
        <v>391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359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392</v>
      </c>
    </row>
    <row r="6" spans="2:10" s="2" customFormat="1" x14ac:dyDescent="0.25">
      <c r="B6" s="3" t="s">
        <v>382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393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B5FA-A1E1-4076-9764-1135F7751CB3}">
  <sheetPr codeName="Hoja20"/>
  <dimension ref="B3:J9"/>
  <sheetViews>
    <sheetView showGridLines="0" zoomScaleNormal="100" workbookViewId="0">
      <selection activeCell="F15" sqref="F1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SYSTEMUSER</v>
      </c>
      <c r="C3" s="23"/>
      <c r="D3" s="23"/>
      <c r="E3" s="23"/>
      <c r="F3" s="23"/>
      <c r="G3" s="23"/>
      <c r="H3" s="23"/>
      <c r="J3" t="s">
        <v>20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394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392</v>
      </c>
    </row>
    <row r="6" spans="2:10" s="2" customFormat="1" ht="30" x14ac:dyDescent="0.25">
      <c r="B6" s="3" t="s">
        <v>395</v>
      </c>
      <c r="C6" s="3" t="s">
        <v>366</v>
      </c>
      <c r="D6" s="3"/>
      <c r="E6" s="3" t="s">
        <v>361</v>
      </c>
      <c r="F6" s="3"/>
      <c r="G6" s="3"/>
      <c r="H6" s="5" t="s">
        <v>364</v>
      </c>
    </row>
    <row r="7" spans="2:10" s="2" customFormat="1" x14ac:dyDescent="0.25">
      <c r="B7" s="3" t="s">
        <v>396</v>
      </c>
      <c r="C7" s="3" t="s">
        <v>360</v>
      </c>
      <c r="D7" s="3"/>
      <c r="E7" s="3" t="s">
        <v>361</v>
      </c>
      <c r="F7" s="3"/>
      <c r="G7" s="3"/>
      <c r="H7" s="5" t="s">
        <v>269</v>
      </c>
    </row>
    <row r="8" spans="2:10" s="2" customFormat="1" x14ac:dyDescent="0.25">
      <c r="B8" s="3" t="s">
        <v>397</v>
      </c>
      <c r="C8" s="3" t="s">
        <v>366</v>
      </c>
      <c r="D8" s="3"/>
      <c r="E8" s="3" t="s">
        <v>361</v>
      </c>
      <c r="F8" s="3"/>
      <c r="G8" s="3"/>
      <c r="H8" s="5" t="s">
        <v>271</v>
      </c>
    </row>
    <row r="9" spans="2:10" x14ac:dyDescent="0.25">
      <c r="B9" s="3" t="s">
        <v>398</v>
      </c>
      <c r="C9" s="3" t="s">
        <v>366</v>
      </c>
      <c r="D9" s="3"/>
      <c r="E9" s="3" t="s">
        <v>361</v>
      </c>
      <c r="F9" s="3"/>
      <c r="G9" s="3"/>
      <c r="H9" s="5" t="s">
        <v>369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F966-8A7E-4E2A-9B1F-77F1852F1BA1}">
  <sheetPr codeName="Hoja21"/>
  <dimension ref="B3:J8"/>
  <sheetViews>
    <sheetView showGridLines="0" zoomScaleNormal="100" workbookViewId="0">
      <selection activeCell="H6" sqref="H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IDENTIFICATION</v>
      </c>
      <c r="C3" s="23"/>
      <c r="D3" s="23"/>
      <c r="E3" s="23"/>
      <c r="F3" s="23"/>
      <c r="G3" s="23"/>
      <c r="H3" s="23"/>
      <c r="J3" t="s">
        <v>22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ht="30" x14ac:dyDescent="0.25">
      <c r="B5" s="3" t="s">
        <v>399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identification</v>
      </c>
    </row>
    <row r="6" spans="2:10" s="2" customFormat="1" ht="30" x14ac:dyDescent="0.25">
      <c r="B6" s="3" t="s">
        <v>376</v>
      </c>
      <c r="C6" s="3" t="s">
        <v>360</v>
      </c>
      <c r="D6" s="3"/>
      <c r="E6" s="3"/>
      <c r="F6" s="3"/>
      <c r="G6" s="3"/>
      <c r="H6" s="5" t="s">
        <v>400</v>
      </c>
    </row>
    <row r="7" spans="2:10" s="2" customFormat="1" x14ac:dyDescent="0.25">
      <c r="B7" s="3" t="s">
        <v>401</v>
      </c>
      <c r="C7" s="3" t="s">
        <v>360</v>
      </c>
      <c r="D7" s="3"/>
      <c r="E7" s="3"/>
      <c r="F7" s="3"/>
      <c r="G7" s="3"/>
      <c r="H7" s="5" t="s">
        <v>402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26F71-CBFA-48DA-AF90-D4ED52387783}">
  <sheetPr codeName="Hoja22"/>
  <dimension ref="B3:J8"/>
  <sheetViews>
    <sheetView showGridLines="0" zoomScaleNormal="100" workbookViewId="0">
      <selection activeCell="G13" sqref="G13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10" max="10" width="13.28515625" bestFit="1" customWidth="1"/>
  </cols>
  <sheetData>
    <row r="3" spans="2:10" ht="52.5" customHeight="1" x14ac:dyDescent="0.25">
      <c r="B3" s="22" t="str">
        <f>"TABLE "&amp;UPPER($J$3)</f>
        <v>TABLE IDENTXSYSTEM</v>
      </c>
      <c r="C3" s="23"/>
      <c r="D3" s="23"/>
      <c r="E3" s="23"/>
      <c r="F3" s="23"/>
      <c r="G3" s="23"/>
      <c r="H3" s="23"/>
      <c r="J3" t="s">
        <v>24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403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404</v>
      </c>
    </row>
    <row r="6" spans="2:10" s="2" customFormat="1" x14ac:dyDescent="0.25">
      <c r="B6" s="3" t="s">
        <v>394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405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F98C-212F-4831-8465-41E61EFF7500}">
  <sheetPr codeName="Hoja24"/>
  <dimension ref="B3:J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END_USER</v>
      </c>
      <c r="C3" s="23"/>
      <c r="D3" s="23"/>
      <c r="E3" s="23"/>
      <c r="F3" s="23"/>
      <c r="G3" s="23"/>
      <c r="H3" s="23"/>
      <c r="J3" t="s">
        <v>406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407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392</v>
      </c>
    </row>
    <row r="6" spans="2:10" s="2" customFormat="1" x14ac:dyDescent="0.25">
      <c r="B6"/>
      <c r="C6"/>
      <c r="D6"/>
      <c r="E6"/>
      <c r="F6"/>
      <c r="G6"/>
      <c r="H6"/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87B3E-C4BA-4715-BB7B-408B6B9BBDCB}">
  <sheetPr codeName="Hoja25"/>
  <dimension ref="B3:J8"/>
  <sheetViews>
    <sheetView showGridLines="0" zoomScaleNormal="100" workbookViewId="0">
      <selection activeCell="B9" sqref="B9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ADMINISTRATOR</v>
      </c>
      <c r="C3" s="23"/>
      <c r="D3" s="23"/>
      <c r="E3" s="23"/>
      <c r="F3" s="23"/>
      <c r="G3" s="23"/>
      <c r="H3" s="23"/>
      <c r="J3" t="s">
        <v>408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409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392</v>
      </c>
    </row>
    <row r="6" spans="2:10" s="2" customFormat="1" x14ac:dyDescent="0.25">
      <c r="B6"/>
      <c r="C6"/>
      <c r="D6"/>
      <c r="E6"/>
      <c r="F6"/>
      <c r="G6"/>
      <c r="H6"/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1D8E-ACBB-4485-9134-C041D9237E73}">
  <sheetPr codeName="Hoja26"/>
  <dimension ref="B3:J9"/>
  <sheetViews>
    <sheetView showGridLines="0" zoomScaleNormal="100" workbookViewId="0">
      <selection activeCell="D11" sqref="D11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SYSTEMUSER</v>
      </c>
      <c r="C3" s="23"/>
      <c r="D3" s="23"/>
      <c r="E3" s="23"/>
      <c r="F3" s="23"/>
      <c r="G3" s="23"/>
      <c r="H3" s="23"/>
      <c r="J3" t="s">
        <v>20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394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392</v>
      </c>
    </row>
    <row r="6" spans="2:10" s="2" customFormat="1" x14ac:dyDescent="0.25">
      <c r="B6" s="3" t="s">
        <v>386</v>
      </c>
      <c r="C6" s="3" t="s">
        <v>360</v>
      </c>
      <c r="D6" s="3"/>
      <c r="E6" s="3"/>
      <c r="F6" s="3"/>
      <c r="G6" s="3"/>
      <c r="H6" s="5" t="s">
        <v>410</v>
      </c>
    </row>
    <row r="7" spans="2:10" s="2" customFormat="1" x14ac:dyDescent="0.25">
      <c r="B7" s="3" t="s">
        <v>411</v>
      </c>
      <c r="C7" s="3" t="s">
        <v>366</v>
      </c>
      <c r="D7" s="3"/>
      <c r="E7" s="3" t="s">
        <v>361</v>
      </c>
      <c r="F7" s="3"/>
      <c r="G7" s="3"/>
      <c r="H7" s="5" t="s">
        <v>412</v>
      </c>
    </row>
    <row r="8" spans="2:10" s="2" customFormat="1" x14ac:dyDescent="0.25">
      <c r="B8" s="3" t="s">
        <v>413</v>
      </c>
      <c r="C8" s="3" t="s">
        <v>360</v>
      </c>
      <c r="D8" s="3"/>
      <c r="E8" s="3" t="s">
        <v>361</v>
      </c>
      <c r="F8" s="3"/>
      <c r="G8" s="3"/>
      <c r="H8" s="5" t="s">
        <v>414</v>
      </c>
    </row>
    <row r="9" spans="2:10" x14ac:dyDescent="0.25">
      <c r="B9" s="3" t="s">
        <v>415</v>
      </c>
      <c r="C9" s="3" t="s">
        <v>366</v>
      </c>
      <c r="D9" s="3"/>
      <c r="E9" s="3"/>
      <c r="F9" s="3"/>
      <c r="G9" s="3"/>
      <c r="H9" s="5" t="s">
        <v>416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3E646-CFB8-4209-AC0C-E6AA81809927}">
  <sheetPr codeName="Hoja27"/>
  <dimension ref="B3:J8"/>
  <sheetViews>
    <sheetView showGridLines="0" zoomScaleNormal="100" workbookViewId="0">
      <selection activeCell="C6" sqref="C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TYPEOFPRODUCT</v>
      </c>
      <c r="C3" s="23"/>
      <c r="D3" s="23"/>
      <c r="E3" s="23"/>
      <c r="F3" s="23"/>
      <c r="G3" s="23"/>
      <c r="H3" s="23"/>
      <c r="J3" t="s">
        <v>417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ht="30" x14ac:dyDescent="0.25">
      <c r="B5" s="3" t="s">
        <v>418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419</v>
      </c>
    </row>
    <row r="6" spans="2:10" s="2" customFormat="1" x14ac:dyDescent="0.25">
      <c r="B6" s="3" t="s">
        <v>420</v>
      </c>
      <c r="C6" s="3" t="s">
        <v>366</v>
      </c>
      <c r="D6" s="3"/>
      <c r="E6" s="3" t="s">
        <v>361</v>
      </c>
      <c r="F6" s="3"/>
      <c r="G6" s="3"/>
      <c r="H6" s="5" t="s">
        <v>334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1D094-503D-4BC9-8D7A-99B6284EBADE}">
  <sheetPr codeName="Hoja10"/>
  <dimension ref="B3:J12"/>
  <sheetViews>
    <sheetView showGridLines="0" zoomScaleNormal="100" workbookViewId="0">
      <selection activeCell="B3" sqref="B3:H3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PRODUCT</v>
      </c>
      <c r="C3" s="23"/>
      <c r="D3" s="23"/>
      <c r="E3" s="23"/>
      <c r="F3" s="23"/>
      <c r="G3" s="23"/>
      <c r="H3" s="23"/>
      <c r="J3" t="s">
        <v>421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422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423</v>
      </c>
    </row>
    <row r="6" spans="2:10" s="2" customFormat="1" ht="30" x14ac:dyDescent="0.25">
      <c r="B6" s="3" t="s">
        <v>418</v>
      </c>
      <c r="C6" s="3" t="s">
        <v>360</v>
      </c>
      <c r="D6" s="3"/>
      <c r="E6" s="3"/>
      <c r="F6" s="3"/>
      <c r="G6" s="3"/>
      <c r="H6" s="5" t="s">
        <v>424</v>
      </c>
    </row>
    <row r="7" spans="2:10" s="2" customFormat="1" x14ac:dyDescent="0.25">
      <c r="B7" s="3" t="s">
        <v>425</v>
      </c>
      <c r="C7" s="3" t="s">
        <v>360</v>
      </c>
      <c r="D7" s="3"/>
      <c r="E7" s="3" t="s">
        <v>361</v>
      </c>
      <c r="F7" s="3"/>
      <c r="G7" s="3"/>
      <c r="H7" s="5" t="s">
        <v>247</v>
      </c>
    </row>
    <row r="8" spans="2:10" s="2" customFormat="1" x14ac:dyDescent="0.25">
      <c r="B8" s="3" t="s">
        <v>426</v>
      </c>
      <c r="C8" s="3" t="s">
        <v>366</v>
      </c>
      <c r="D8" s="3"/>
      <c r="E8" s="3" t="s">
        <v>361</v>
      </c>
      <c r="F8" s="3"/>
      <c r="G8" s="3"/>
      <c r="H8" s="5" t="s">
        <v>427</v>
      </c>
    </row>
    <row r="9" spans="2:10" x14ac:dyDescent="0.25">
      <c r="B9" s="3" t="s">
        <v>428</v>
      </c>
      <c r="C9" s="3" t="s">
        <v>360</v>
      </c>
      <c r="D9" s="3"/>
      <c r="E9" s="3" t="s">
        <v>361</v>
      </c>
      <c r="F9" s="3"/>
      <c r="G9" s="3"/>
      <c r="H9" s="5" t="s">
        <v>252</v>
      </c>
    </row>
    <row r="10" spans="2:10" x14ac:dyDescent="0.25">
      <c r="B10" s="3" t="s">
        <v>429</v>
      </c>
      <c r="C10" s="3" t="s">
        <v>366</v>
      </c>
      <c r="D10" s="3"/>
      <c r="E10" s="3"/>
      <c r="F10" s="3"/>
      <c r="G10" s="3"/>
      <c r="H10" s="5" t="s">
        <v>430</v>
      </c>
    </row>
    <row r="11" spans="2:10" x14ac:dyDescent="0.25">
      <c r="B11" s="3" t="s">
        <v>431</v>
      </c>
      <c r="C11" s="3" t="s">
        <v>360</v>
      </c>
      <c r="D11" s="3"/>
      <c r="E11" s="3"/>
      <c r="F11" s="3"/>
      <c r="G11" s="3"/>
      <c r="H11" s="5" t="s">
        <v>258</v>
      </c>
    </row>
    <row r="12" spans="2:10" x14ac:dyDescent="0.25">
      <c r="B12" s="3" t="s">
        <v>432</v>
      </c>
      <c r="C12" s="3" t="s">
        <v>366</v>
      </c>
      <c r="D12" s="3"/>
      <c r="E12" s="3" t="s">
        <v>361</v>
      </c>
      <c r="F12" s="3"/>
      <c r="G12" s="3"/>
      <c r="H12" s="5" t="s">
        <v>254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58CE3-81E9-416C-9D59-E77C8DFBF37E}">
  <sheetPr codeName="Hoja16"/>
  <dimension ref="B3:J9"/>
  <sheetViews>
    <sheetView showGridLines="0" zoomScaleNormal="100" workbookViewId="0">
      <selection activeCell="H9" sqref="H9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BINNACLE</v>
      </c>
      <c r="C3" s="23"/>
      <c r="D3" s="23"/>
      <c r="E3" s="23"/>
      <c r="F3" s="23"/>
      <c r="G3" s="23"/>
      <c r="H3" s="23"/>
      <c r="J3" t="s">
        <v>36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382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binnacle</v>
      </c>
    </row>
    <row r="6" spans="2:10" s="2" customFormat="1" x14ac:dyDescent="0.25">
      <c r="B6" s="3" t="s">
        <v>422</v>
      </c>
      <c r="C6" s="3" t="s">
        <v>360</v>
      </c>
      <c r="D6" s="3"/>
      <c r="E6" s="3"/>
      <c r="F6" s="3"/>
      <c r="G6" s="3"/>
      <c r="H6" s="5" t="s">
        <v>433</v>
      </c>
    </row>
    <row r="7" spans="2:10" s="2" customFormat="1" ht="30" x14ac:dyDescent="0.25">
      <c r="B7" s="3" t="s">
        <v>434</v>
      </c>
      <c r="C7" s="3" t="s">
        <v>360</v>
      </c>
      <c r="D7" s="3"/>
      <c r="E7" s="3"/>
      <c r="F7" s="3"/>
      <c r="G7" s="3"/>
      <c r="H7" s="5" t="s">
        <v>435</v>
      </c>
    </row>
    <row r="8" spans="2:10" s="2" customFormat="1" ht="30" x14ac:dyDescent="0.25">
      <c r="B8" s="3" t="s">
        <v>436</v>
      </c>
      <c r="C8" s="3" t="s">
        <v>360</v>
      </c>
      <c r="D8" s="3"/>
      <c r="E8" s="3" t="s">
        <v>361</v>
      </c>
      <c r="F8" s="3"/>
      <c r="G8" s="3"/>
      <c r="H8" s="5" t="s">
        <v>437</v>
      </c>
    </row>
    <row r="9" spans="2:10" x14ac:dyDescent="0.25">
      <c r="B9" s="3" t="s">
        <v>438</v>
      </c>
      <c r="C9" s="3" t="s">
        <v>372</v>
      </c>
      <c r="D9" s="3"/>
      <c r="E9" s="3" t="s">
        <v>361</v>
      </c>
      <c r="F9" s="3"/>
      <c r="G9" s="3"/>
      <c r="H9" s="5" t="s">
        <v>439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6522-E0E3-48D7-B4C0-799F6B5B39E8}">
  <sheetPr codeName="Hoja28"/>
  <dimension ref="B3:J8"/>
  <sheetViews>
    <sheetView showGridLines="0" zoomScaleNormal="100" workbookViewId="0">
      <selection activeCell="H6" sqref="H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SEASON</v>
      </c>
      <c r="C3" s="23"/>
      <c r="D3" s="23"/>
      <c r="E3" s="23"/>
      <c r="F3" s="23"/>
      <c r="G3" s="23"/>
      <c r="H3" s="23"/>
      <c r="J3" t="s">
        <v>38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440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season</v>
      </c>
    </row>
    <row r="6" spans="2:10" s="2" customFormat="1" ht="30" x14ac:dyDescent="0.25">
      <c r="B6" s="3" t="s">
        <v>422</v>
      </c>
      <c r="C6" s="3" t="s">
        <v>360</v>
      </c>
      <c r="D6" s="3"/>
      <c r="E6" s="3"/>
      <c r="F6" s="3"/>
      <c r="G6" s="3"/>
      <c r="H6" s="5" t="s">
        <v>441</v>
      </c>
    </row>
    <row r="7" spans="2:10" s="2" customFormat="1" x14ac:dyDescent="0.25">
      <c r="B7" s="3" t="s">
        <v>442</v>
      </c>
      <c r="C7" s="3" t="s">
        <v>360</v>
      </c>
      <c r="D7" s="3"/>
      <c r="E7" s="3"/>
      <c r="F7" s="3"/>
      <c r="G7" s="3"/>
      <c r="H7" s="5" t="s">
        <v>443</v>
      </c>
    </row>
    <row r="8" spans="2:10" s="2" customFormat="1" x14ac:dyDescent="0.25">
      <c r="B8" s="3" t="s">
        <v>428</v>
      </c>
      <c r="C8" s="3" t="s">
        <v>360</v>
      </c>
      <c r="D8" s="3"/>
      <c r="E8" s="3"/>
      <c r="F8" s="3"/>
      <c r="G8" s="3"/>
      <c r="H8" s="5" t="s">
        <v>444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5FC5-46F5-4B9A-BF9C-25BBAA283DDC}">
  <sheetPr codeName="Hoja29"/>
  <dimension ref="B3:J9"/>
  <sheetViews>
    <sheetView showGridLines="0" zoomScaleNormal="100" workbookViewId="0">
      <selection activeCell="H6" sqref="H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EPISODE</v>
      </c>
      <c r="C3" s="23"/>
      <c r="D3" s="23"/>
      <c r="E3" s="23"/>
      <c r="F3" s="23"/>
      <c r="G3" s="23"/>
      <c r="H3" s="23"/>
      <c r="J3" t="s">
        <v>40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445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episode</v>
      </c>
    </row>
    <row r="6" spans="2:10" s="2" customFormat="1" ht="30" x14ac:dyDescent="0.25">
      <c r="B6" s="3" t="s">
        <v>440</v>
      </c>
      <c r="C6" s="3" t="s">
        <v>360</v>
      </c>
      <c r="D6" s="3"/>
      <c r="E6" s="3"/>
      <c r="F6" s="3"/>
      <c r="G6" s="3"/>
      <c r="H6" s="5" t="s">
        <v>446</v>
      </c>
    </row>
    <row r="7" spans="2:10" s="2" customFormat="1" x14ac:dyDescent="0.25">
      <c r="B7" s="3" t="s">
        <v>447</v>
      </c>
      <c r="C7" s="3" t="s">
        <v>360</v>
      </c>
      <c r="D7" s="3"/>
      <c r="E7" s="3"/>
      <c r="F7" s="3"/>
      <c r="G7" s="3"/>
      <c r="H7" s="5" t="s">
        <v>448</v>
      </c>
    </row>
    <row r="8" spans="2:10" s="2" customFormat="1" x14ac:dyDescent="0.25">
      <c r="B8" s="3" t="s">
        <v>233</v>
      </c>
      <c r="C8" s="3" t="s">
        <v>366</v>
      </c>
      <c r="D8" s="3"/>
      <c r="E8" s="3"/>
      <c r="F8" s="3"/>
      <c r="G8" s="3"/>
      <c r="H8" s="5" t="s">
        <v>449</v>
      </c>
    </row>
    <row r="9" spans="2:10" x14ac:dyDescent="0.25">
      <c r="B9" s="3" t="s">
        <v>428</v>
      </c>
      <c r="C9" s="3" t="s">
        <v>360</v>
      </c>
      <c r="D9" s="3"/>
      <c r="E9" s="3"/>
      <c r="F9" s="3"/>
      <c r="G9" s="3"/>
      <c r="H9" s="5" t="s">
        <v>450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D8C69-1EDA-42EB-8A38-3B233879059F}">
  <sheetPr codeName="Hoja30"/>
  <dimension ref="B3:J8"/>
  <sheetViews>
    <sheetView showGridLines="0" zoomScaleNormal="100" workbookViewId="0">
      <selection activeCell="D18" sqref="D18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PHOTO</v>
      </c>
      <c r="C3" s="23"/>
      <c r="D3" s="23"/>
      <c r="E3" s="23"/>
      <c r="F3" s="23"/>
      <c r="G3" s="23"/>
      <c r="H3" s="23"/>
      <c r="J3" t="s">
        <v>42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451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photo</v>
      </c>
    </row>
    <row r="6" spans="2:10" s="2" customFormat="1" x14ac:dyDescent="0.25">
      <c r="B6" s="3" t="s">
        <v>422</v>
      </c>
      <c r="C6" s="3" t="s">
        <v>360</v>
      </c>
      <c r="D6" s="3"/>
      <c r="E6" s="3"/>
      <c r="F6" s="3"/>
      <c r="G6" s="3"/>
      <c r="H6" s="5" t="s">
        <v>433</v>
      </c>
    </row>
    <row r="7" spans="2:10" s="2" customFormat="1" x14ac:dyDescent="0.25">
      <c r="B7" s="3" t="s">
        <v>452</v>
      </c>
      <c r="C7" s="3" t="s">
        <v>374</v>
      </c>
      <c r="D7" s="3"/>
      <c r="E7" s="3"/>
      <c r="F7" s="3"/>
      <c r="G7" s="3"/>
      <c r="H7" s="5" t="s">
        <v>453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E49C-6BFD-4BDF-A234-08990C126EC2}">
  <sheetPr codeName="Hoja31"/>
  <dimension ref="B3:J8"/>
  <sheetViews>
    <sheetView showGridLines="0" zoomScaleNormal="100" workbookViewId="0">
      <selection activeCell="G12" sqref="G12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TYPEOFPARTICIPANT</v>
      </c>
      <c r="C3" s="23"/>
      <c r="D3" s="23"/>
      <c r="E3" s="23"/>
      <c r="F3" s="23"/>
      <c r="G3" s="23"/>
      <c r="H3" s="23"/>
      <c r="J3" t="s">
        <v>44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ht="30" x14ac:dyDescent="0.25">
      <c r="B5" s="3" t="s">
        <v>418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454</v>
      </c>
    </row>
    <row r="6" spans="2:10" s="2" customFormat="1" x14ac:dyDescent="0.25">
      <c r="B6" s="3" t="s">
        <v>455</v>
      </c>
      <c r="C6" s="3" t="s">
        <v>366</v>
      </c>
      <c r="D6" s="3"/>
      <c r="E6" s="3" t="s">
        <v>361</v>
      </c>
      <c r="F6" s="3"/>
      <c r="G6" s="3"/>
      <c r="H6" s="5" t="str">
        <f>"Name of the "&amp;LOWER($J$3)</f>
        <v>Name of the typeofparticipant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5453-7B09-4E0F-A215-B2CEE1B8A957}">
  <sheetPr codeName="Hoja32"/>
  <dimension ref="B3:J8"/>
  <sheetViews>
    <sheetView showGridLines="0" zoomScaleNormal="100" workbookViewId="0">
      <selection activeCell="H8" sqref="H8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PARTICIPANTXPRODUCT</v>
      </c>
      <c r="C3" s="23"/>
      <c r="D3" s="23"/>
      <c r="E3" s="23"/>
      <c r="F3" s="23"/>
      <c r="G3" s="23"/>
      <c r="H3" s="23"/>
      <c r="J3" t="s">
        <v>46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456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457</v>
      </c>
    </row>
    <row r="6" spans="2:10" s="2" customFormat="1" x14ac:dyDescent="0.25">
      <c r="B6" s="3" t="s">
        <v>422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433</v>
      </c>
    </row>
    <row r="7" spans="2:10" s="2" customFormat="1" ht="30" x14ac:dyDescent="0.25">
      <c r="B7" s="3" t="s">
        <v>458</v>
      </c>
      <c r="C7" s="3" t="s">
        <v>360</v>
      </c>
      <c r="D7" s="3" t="s">
        <v>361</v>
      </c>
      <c r="E7" s="3" t="s">
        <v>361</v>
      </c>
      <c r="F7" s="3"/>
      <c r="G7" s="3"/>
      <c r="H7" s="5" t="s">
        <v>459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47A5-0E8F-4766-BEEE-FDF5153C1DF5}">
  <sheetPr codeName="Hoja33"/>
  <dimension ref="B3:J8"/>
  <sheetViews>
    <sheetView showGridLines="0" zoomScaleNormal="100" workbookViewId="0">
      <selection activeCell="E12" sqref="E12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PARTICIPANTXRELATIVE</v>
      </c>
      <c r="C3" s="23"/>
      <c r="D3" s="23"/>
      <c r="E3" s="23"/>
      <c r="F3" s="23"/>
      <c r="G3" s="23"/>
      <c r="H3" s="23"/>
      <c r="J3" t="s">
        <v>48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456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460</v>
      </c>
    </row>
    <row r="6" spans="2:10" s="2" customFormat="1" x14ac:dyDescent="0.25">
      <c r="B6" s="3" t="s">
        <v>461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462</v>
      </c>
    </row>
    <row r="7" spans="2:10" s="2" customFormat="1" x14ac:dyDescent="0.25">
      <c r="B7" s="3" t="s">
        <v>389</v>
      </c>
      <c r="C7" s="3" t="s">
        <v>360</v>
      </c>
      <c r="D7" s="3"/>
      <c r="E7" s="3"/>
      <c r="F7" s="3"/>
      <c r="G7" s="3"/>
      <c r="H7" s="5" t="s">
        <v>463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6F8E-FBFE-4188-A2A6-EB9CA4F40981}">
  <sheetPr codeName="Hoja34"/>
  <dimension ref="B3:J8"/>
  <sheetViews>
    <sheetView showGridLines="0" zoomScaleNormal="100" workbookViewId="0">
      <selection activeCell="C18" sqref="C18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PAYMENT</v>
      </c>
      <c r="C3" s="23"/>
      <c r="D3" s="23"/>
      <c r="E3" s="23"/>
      <c r="F3" s="23"/>
      <c r="G3" s="23"/>
      <c r="H3" s="23"/>
      <c r="J3" t="s">
        <v>464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465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payment</v>
      </c>
    </row>
    <row r="6" spans="2:10" s="2" customFormat="1" x14ac:dyDescent="0.25">
      <c r="B6" s="3" t="s">
        <v>407</v>
      </c>
      <c r="C6" s="3" t="s">
        <v>360</v>
      </c>
      <c r="D6" s="3"/>
      <c r="E6" s="3" t="s">
        <v>361</v>
      </c>
      <c r="F6" s="3"/>
      <c r="G6" s="3"/>
      <c r="H6" s="5" t="s">
        <v>392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1D95-E7AF-4308-95C7-37854A28BF87}">
  <sheetPr codeName="Hoja35"/>
  <dimension ref="B3:J9"/>
  <sheetViews>
    <sheetView showGridLines="0" zoomScaleNormal="100" workbookViewId="0">
      <selection activeCell="H10" sqref="H10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CARD</v>
      </c>
      <c r="C3" s="23"/>
      <c r="D3" s="23"/>
      <c r="E3" s="23"/>
      <c r="F3" s="23"/>
      <c r="G3" s="23"/>
      <c r="H3" s="23"/>
      <c r="J3" t="s">
        <v>52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466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card</v>
      </c>
    </row>
    <row r="6" spans="2:10" s="2" customFormat="1" x14ac:dyDescent="0.25">
      <c r="B6" s="3" t="s">
        <v>467</v>
      </c>
      <c r="C6" s="3" t="s">
        <v>360</v>
      </c>
      <c r="D6" s="3"/>
      <c r="E6" s="3" t="s">
        <v>361</v>
      </c>
      <c r="F6" s="3"/>
      <c r="G6" s="3"/>
      <c r="H6" s="5" t="s">
        <v>468</v>
      </c>
    </row>
    <row r="7" spans="2:10" s="2" customFormat="1" x14ac:dyDescent="0.25">
      <c r="B7" s="3" t="s">
        <v>469</v>
      </c>
      <c r="C7" s="3" t="s">
        <v>372</v>
      </c>
      <c r="D7" s="3"/>
      <c r="E7" s="3" t="s">
        <v>361</v>
      </c>
      <c r="F7" s="3"/>
      <c r="G7" s="3"/>
      <c r="H7" s="5" t="s">
        <v>470</v>
      </c>
    </row>
    <row r="8" spans="2:10" s="2" customFormat="1" x14ac:dyDescent="0.25">
      <c r="B8" s="3" t="s">
        <v>471</v>
      </c>
      <c r="C8" s="3" t="s">
        <v>360</v>
      </c>
      <c r="D8" s="3"/>
      <c r="E8" s="3" t="s">
        <v>361</v>
      </c>
      <c r="F8" s="3"/>
      <c r="G8" s="3"/>
      <c r="H8" s="5" t="s">
        <v>472</v>
      </c>
    </row>
    <row r="9" spans="2:10" x14ac:dyDescent="0.25">
      <c r="B9" s="3" t="s">
        <v>473</v>
      </c>
      <c r="C9" s="3" t="s">
        <v>366</v>
      </c>
      <c r="D9" s="3"/>
      <c r="E9" s="3" t="s">
        <v>361</v>
      </c>
      <c r="F9" s="3"/>
      <c r="G9" s="3"/>
      <c r="H9" s="5" t="s">
        <v>474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EFE81-69B3-478A-8C7C-314E1FB551E0}">
  <sheetPr codeName="Hoja36"/>
  <dimension ref="B3:J8"/>
  <sheetViews>
    <sheetView showGridLines="0" zoomScaleNormal="100" workbookViewId="0">
      <selection activeCell="H7" sqref="H7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WISHLIST</v>
      </c>
      <c r="C3" s="23"/>
      <c r="D3" s="23"/>
      <c r="E3" s="23"/>
      <c r="F3" s="23"/>
      <c r="G3" s="23"/>
      <c r="H3" s="23"/>
      <c r="J3" t="s">
        <v>54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ht="30" x14ac:dyDescent="0.25">
      <c r="B5" s="3" t="s">
        <v>407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475</v>
      </c>
    </row>
    <row r="6" spans="2:10" s="2" customFormat="1" x14ac:dyDescent="0.25">
      <c r="B6" s="3" t="s">
        <v>422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476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C83C2-A5D3-41AE-938A-A0CB35498D83}">
  <sheetPr codeName="Hoja37"/>
  <dimension ref="B3:J8"/>
  <sheetViews>
    <sheetView showGridLines="0" zoomScaleNormal="100" workbookViewId="0">
      <selection activeCell="H13" sqref="H13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PURCHASE</v>
      </c>
      <c r="C3" s="23"/>
      <c r="D3" s="23"/>
      <c r="E3" s="23"/>
      <c r="F3" s="23"/>
      <c r="G3" s="23"/>
      <c r="H3" s="23"/>
      <c r="J3" t="s">
        <v>56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407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477</v>
      </c>
    </row>
    <row r="6" spans="2:10" s="2" customFormat="1" x14ac:dyDescent="0.25">
      <c r="B6" s="3" t="s">
        <v>422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478</v>
      </c>
    </row>
    <row r="7" spans="2:10" s="2" customFormat="1" x14ac:dyDescent="0.25">
      <c r="B7" s="3" t="s">
        <v>465</v>
      </c>
      <c r="C7" s="3" t="s">
        <v>360</v>
      </c>
      <c r="D7" s="3"/>
      <c r="E7" s="3"/>
      <c r="F7" s="3"/>
      <c r="G7" s="3"/>
      <c r="H7" s="5" t="s">
        <v>479</v>
      </c>
    </row>
    <row r="8" spans="2:10" s="2" customFormat="1" x14ac:dyDescent="0.25">
      <c r="B8" s="3" t="s">
        <v>480</v>
      </c>
      <c r="C8" s="3" t="s">
        <v>372</v>
      </c>
      <c r="D8" s="3"/>
      <c r="E8" s="3" t="s">
        <v>361</v>
      </c>
      <c r="F8" s="3"/>
      <c r="G8" s="3"/>
      <c r="H8" s="5" t="s">
        <v>481</v>
      </c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0B43F-A3D8-4F37-BF06-6EF1FB428686}">
  <sheetPr codeName="Hoja38"/>
  <dimension ref="B3:J8"/>
  <sheetViews>
    <sheetView showGridLines="0" zoomScaleNormal="100" workbookViewId="0">
      <selection activeCell="H7" sqref="H7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CATALOG</v>
      </c>
      <c r="C3" s="23"/>
      <c r="D3" s="23"/>
      <c r="E3" s="23"/>
      <c r="F3" s="23"/>
      <c r="G3" s="23"/>
      <c r="H3" s="23"/>
      <c r="J3" t="s">
        <v>482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483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catalog</v>
      </c>
    </row>
    <row r="6" spans="2:10" s="2" customFormat="1" ht="30" x14ac:dyDescent="0.25">
      <c r="B6" s="3" t="s">
        <v>484</v>
      </c>
      <c r="C6" s="3" t="s">
        <v>366</v>
      </c>
      <c r="D6" s="3"/>
      <c r="E6" s="3" t="s">
        <v>361</v>
      </c>
      <c r="F6" s="3"/>
      <c r="G6" s="3"/>
      <c r="H6" s="5" t="s">
        <v>485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24EEB-1E17-4460-8213-2217A8BE8ED1}">
  <sheetPr codeName="Hoja39"/>
  <dimension ref="B3:J8"/>
  <sheetViews>
    <sheetView showGridLines="0" zoomScaleNormal="100" workbookViewId="0">
      <selection activeCell="G15" sqref="G1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CATALOGXPRODUCT</v>
      </c>
      <c r="C3" s="23"/>
      <c r="D3" s="23"/>
      <c r="E3" s="23"/>
      <c r="F3" s="23"/>
      <c r="G3" s="23"/>
      <c r="H3" s="23"/>
      <c r="J3" t="s">
        <v>60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483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486</v>
      </c>
    </row>
    <row r="6" spans="2:10" s="2" customFormat="1" x14ac:dyDescent="0.25">
      <c r="B6" s="3" t="s">
        <v>422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433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729C4-3E97-4A14-BB86-C76F96DFFBBF}">
  <sheetPr codeName="Hoja40"/>
  <dimension ref="B3:J8"/>
  <sheetViews>
    <sheetView showGridLines="0" zoomScaleNormal="100" workbookViewId="0">
      <selection activeCell="G26" sqref="G2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  <col min="9" max="9" width="9.140625"/>
    <col min="10" max="10" width="22.140625" customWidth="1"/>
    <col min="11" max="13" width="9.140625"/>
  </cols>
  <sheetData>
    <row r="3" spans="2:10" ht="52.5" customHeight="1" x14ac:dyDescent="0.25">
      <c r="B3" s="22" t="str">
        <f>"TABLE "&amp;UPPER($J$3)</f>
        <v>TABLE PLATFORM</v>
      </c>
      <c r="C3" s="23"/>
      <c r="D3" s="23"/>
      <c r="E3" s="23"/>
      <c r="F3" s="23"/>
      <c r="G3" s="23"/>
      <c r="H3" s="23"/>
      <c r="J3" t="s">
        <v>487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488</v>
      </c>
      <c r="C5" s="3" t="s">
        <v>360</v>
      </c>
      <c r="D5" s="3" t="s">
        <v>361</v>
      </c>
      <c r="E5" s="3" t="s">
        <v>361</v>
      </c>
      <c r="F5" s="3"/>
      <c r="G5" s="3"/>
      <c r="H5" s="5" t="str">
        <f>"Unique identifier of the "&amp;LOWER($J$3)</f>
        <v>Unique identifier of the platform</v>
      </c>
    </row>
    <row r="6" spans="2:10" s="2" customFormat="1" x14ac:dyDescent="0.25">
      <c r="B6" s="3" t="s">
        <v>489</v>
      </c>
      <c r="C6" s="3" t="s">
        <v>366</v>
      </c>
      <c r="D6" s="3"/>
      <c r="E6" s="3" t="s">
        <v>361</v>
      </c>
      <c r="F6" s="3"/>
      <c r="G6" s="3"/>
      <c r="H6" s="5" t="str">
        <f>"Name of the "&amp;LOWER($J$3)</f>
        <v>Name of the platform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00C6-3CA0-4088-AE59-DDA1763F7B20}">
  <sheetPr codeName="Hoja41"/>
  <dimension ref="B3:J8"/>
  <sheetViews>
    <sheetView showGridLines="0" zoomScaleNormal="100" workbookViewId="0">
      <selection activeCell="H6" sqref="H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PRODUCTXPLATFORM</v>
      </c>
      <c r="C3" s="23"/>
      <c r="D3" s="23"/>
      <c r="E3" s="23"/>
      <c r="F3" s="23"/>
      <c r="G3" s="23"/>
      <c r="H3" s="23"/>
      <c r="J3" t="s">
        <v>64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422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433</v>
      </c>
    </row>
    <row r="6" spans="2:10" s="2" customFormat="1" x14ac:dyDescent="0.25">
      <c r="B6" s="3" t="s">
        <v>488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490</v>
      </c>
    </row>
    <row r="7" spans="2:10" s="2" customFormat="1" x14ac:dyDescent="0.25">
      <c r="B7"/>
      <c r="C7"/>
      <c r="D7"/>
      <c r="E7"/>
      <c r="F7"/>
      <c r="G7"/>
      <c r="H7"/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F8B31-6736-419E-B6E3-E51ABBC41A39}">
  <sheetPr codeName="Hoja42"/>
  <dimension ref="B3:J8"/>
  <sheetViews>
    <sheetView showGridLines="0" zoomScaleNormal="100" workbookViewId="0">
      <selection activeCell="H8" sqref="H8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REVIEW</v>
      </c>
      <c r="C3" s="23"/>
      <c r="D3" s="23"/>
      <c r="E3" s="23"/>
      <c r="F3" s="23"/>
      <c r="G3" s="23"/>
      <c r="H3" s="23"/>
      <c r="J3" t="s">
        <v>491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422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433</v>
      </c>
    </row>
    <row r="6" spans="2:10" s="2" customFormat="1" x14ac:dyDescent="0.25">
      <c r="B6" s="3" t="s">
        <v>407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492</v>
      </c>
    </row>
    <row r="7" spans="2:10" s="2" customFormat="1" ht="30" x14ac:dyDescent="0.25">
      <c r="B7" s="3" t="s">
        <v>493</v>
      </c>
      <c r="C7" s="3" t="s">
        <v>360</v>
      </c>
      <c r="D7" s="3"/>
      <c r="E7" s="3"/>
      <c r="F7" s="3"/>
      <c r="G7" s="3"/>
      <c r="H7" s="5" t="s">
        <v>494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4F6D7-C826-4B3F-8317-6EC75749E836}">
  <sheetPr codeName="Hoja43"/>
  <dimension ref="B3:J8"/>
  <sheetViews>
    <sheetView showGridLines="0" zoomScaleNormal="100" workbookViewId="0">
      <selection activeCell="E8" sqref="E8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COMMENTARY</v>
      </c>
      <c r="C3" s="23"/>
      <c r="D3" s="23"/>
      <c r="E3" s="23"/>
      <c r="F3" s="23"/>
      <c r="G3" s="23"/>
      <c r="H3" s="23"/>
      <c r="J3" t="s">
        <v>495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422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433</v>
      </c>
    </row>
    <row r="6" spans="2:10" s="2" customFormat="1" x14ac:dyDescent="0.25">
      <c r="B6" s="3" t="s">
        <v>407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492</v>
      </c>
    </row>
    <row r="7" spans="2:10" s="2" customFormat="1" ht="30" x14ac:dyDescent="0.25">
      <c r="B7" s="3" t="s">
        <v>496</v>
      </c>
      <c r="C7" s="3" t="s">
        <v>366</v>
      </c>
      <c r="D7" s="3"/>
      <c r="E7" s="3"/>
      <c r="F7" s="3"/>
      <c r="G7" s="3"/>
      <c r="H7" s="5" t="s">
        <v>497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36C20-EA39-4895-9D5D-D51BC659E6D3}">
  <sheetPr codeName="Hoja44"/>
  <dimension ref="B3:J8"/>
  <sheetViews>
    <sheetView showGridLines="0" zoomScaleNormal="100" workbookViewId="0">
      <selection activeCell="B3" sqref="B3:H3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3.140625" customWidth="1"/>
    <col min="4" max="4" width="11.85546875" bestFit="1" customWidth="1"/>
    <col min="5" max="5" width="15.7109375" bestFit="1" customWidth="1"/>
    <col min="6" max="7" width="9.140625"/>
    <col min="8" max="8" width="33.42578125" customWidth="1"/>
  </cols>
  <sheetData>
    <row r="3" spans="2:10" ht="52.5" customHeight="1" x14ac:dyDescent="0.25">
      <c r="B3" s="22" t="str">
        <f>"TABLE "&amp;UPPER($J$3)</f>
        <v>TABLE USERXPRODUCT</v>
      </c>
      <c r="C3" s="23"/>
      <c r="D3" s="23"/>
      <c r="E3" s="23"/>
      <c r="F3" s="23"/>
      <c r="G3" s="23"/>
      <c r="H3" s="23"/>
      <c r="J3" t="s">
        <v>70</v>
      </c>
    </row>
    <row r="4" spans="2:10" x14ac:dyDescent="0.25">
      <c r="B4" s="1" t="s">
        <v>353</v>
      </c>
      <c r="C4" s="1" t="s">
        <v>354</v>
      </c>
      <c r="D4" s="1" t="s">
        <v>355</v>
      </c>
      <c r="E4" s="1" t="s">
        <v>356</v>
      </c>
      <c r="F4" s="1" t="s">
        <v>357</v>
      </c>
      <c r="G4" s="1" t="s">
        <v>358</v>
      </c>
      <c r="H4" s="1" t="s">
        <v>234</v>
      </c>
    </row>
    <row r="5" spans="2:10" s="2" customFormat="1" x14ac:dyDescent="0.25">
      <c r="B5" s="3" t="s">
        <v>407</v>
      </c>
      <c r="C5" s="3" t="s">
        <v>360</v>
      </c>
      <c r="D5" s="3" t="s">
        <v>361</v>
      </c>
      <c r="E5" s="3" t="s">
        <v>361</v>
      </c>
      <c r="F5" s="3"/>
      <c r="G5" s="3"/>
      <c r="H5" s="5" t="s">
        <v>492</v>
      </c>
    </row>
    <row r="6" spans="2:10" s="2" customFormat="1" x14ac:dyDescent="0.25">
      <c r="B6" s="3" t="s">
        <v>422</v>
      </c>
      <c r="C6" s="3" t="s">
        <v>360</v>
      </c>
      <c r="D6" s="3" t="s">
        <v>361</v>
      </c>
      <c r="E6" s="3" t="s">
        <v>361</v>
      </c>
      <c r="F6" s="3"/>
      <c r="G6" s="3"/>
      <c r="H6" s="5" t="s">
        <v>433</v>
      </c>
    </row>
    <row r="7" spans="2:10" s="2" customFormat="1" x14ac:dyDescent="0.25">
      <c r="B7" s="3" t="s">
        <v>498</v>
      </c>
      <c r="C7" s="3" t="s">
        <v>499</v>
      </c>
      <c r="D7" s="3"/>
      <c r="E7" s="3" t="s">
        <v>361</v>
      </c>
      <c r="F7" s="3"/>
      <c r="G7" s="3"/>
      <c r="H7" s="5" t="s">
        <v>500</v>
      </c>
    </row>
    <row r="8" spans="2:10" s="2" customFormat="1" x14ac:dyDescent="0.25">
      <c r="B8"/>
      <c r="C8"/>
      <c r="D8"/>
      <c r="E8"/>
      <c r="F8"/>
      <c r="G8"/>
      <c r="H8"/>
    </row>
  </sheetData>
  <mergeCells count="1">
    <mergeCell ref="B3:H3"/>
  </mergeCells>
  <pageMargins left="0.7" right="0.7" top="0.75" bottom="0.75" header="0.3" footer="0.3"/>
  <pageSetup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BD29-9FA4-489B-BEEC-76C3FEDA898B}">
  <sheetPr codeName="Hoja4"/>
  <dimension ref="B2:D20"/>
  <sheetViews>
    <sheetView showGridLines="0" zoomScaleNormal="100" workbookViewId="0">
      <selection sqref="A1:D20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5" t="s">
        <v>72</v>
      </c>
      <c r="C2" s="15"/>
      <c r="D2" s="15"/>
    </row>
    <row r="3" spans="2:4" x14ac:dyDescent="0.25">
      <c r="B3" s="16" t="str">
        <f>"STORED PROCEDURE "&amp;UPPER($B$2)</f>
        <v>STORED PROCEDURE INSERTUSER</v>
      </c>
      <c r="C3" s="18"/>
      <c r="D3" s="17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insertUser</v>
      </c>
      <c r="C5" s="20"/>
      <c r="D5" s="5" t="s">
        <v>501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266</v>
      </c>
      <c r="C7" s="3" t="s">
        <v>238</v>
      </c>
      <c r="D7" s="5" t="s">
        <v>267</v>
      </c>
    </row>
    <row r="8" spans="2:4" x14ac:dyDescent="0.25">
      <c r="B8" s="3" t="s">
        <v>268</v>
      </c>
      <c r="C8" s="3" t="s">
        <v>249</v>
      </c>
      <c r="D8" s="5" t="s">
        <v>269</v>
      </c>
    </row>
    <row r="9" spans="2:4" x14ac:dyDescent="0.25">
      <c r="B9" s="3" t="s">
        <v>270</v>
      </c>
      <c r="C9" s="3" t="s">
        <v>249</v>
      </c>
      <c r="D9" s="5" t="s">
        <v>271</v>
      </c>
    </row>
    <row r="10" spans="2:4" x14ac:dyDescent="0.25">
      <c r="B10" s="3" t="s">
        <v>272</v>
      </c>
      <c r="C10" s="3" t="s">
        <v>249</v>
      </c>
      <c r="D10" s="5" t="s">
        <v>273</v>
      </c>
    </row>
    <row r="11" spans="2:4" x14ac:dyDescent="0.25">
      <c r="B11" s="3" t="s">
        <v>274</v>
      </c>
      <c r="C11" s="3" t="s">
        <v>249</v>
      </c>
      <c r="D11" s="5" t="s">
        <v>275</v>
      </c>
    </row>
    <row r="12" spans="2:4" x14ac:dyDescent="0.25">
      <c r="B12" s="3" t="s">
        <v>276</v>
      </c>
      <c r="C12" s="3" t="s">
        <v>277</v>
      </c>
      <c r="D12" s="5" t="s">
        <v>278</v>
      </c>
    </row>
    <row r="13" spans="2:4" x14ac:dyDescent="0.25">
      <c r="B13" s="3" t="s">
        <v>279</v>
      </c>
      <c r="C13" s="3" t="s">
        <v>280</v>
      </c>
      <c r="D13" s="5" t="s">
        <v>281</v>
      </c>
    </row>
    <row r="14" spans="2:4" x14ac:dyDescent="0.25">
      <c r="B14" s="3" t="s">
        <v>282</v>
      </c>
      <c r="C14" s="3" t="s">
        <v>249</v>
      </c>
      <c r="D14" s="5" t="s">
        <v>283</v>
      </c>
    </row>
    <row r="15" spans="2:4" x14ac:dyDescent="0.25">
      <c r="B15" s="3" t="s">
        <v>284</v>
      </c>
      <c r="C15" s="3" t="s">
        <v>238</v>
      </c>
      <c r="D15" s="5" t="s">
        <v>285</v>
      </c>
    </row>
    <row r="16" spans="2:4" x14ac:dyDescent="0.25">
      <c r="B16" s="3" t="s">
        <v>286</v>
      </c>
      <c r="C16" s="3" t="s">
        <v>238</v>
      </c>
      <c r="D16" s="5" t="s">
        <v>287</v>
      </c>
    </row>
    <row r="17" spans="2:4" x14ac:dyDescent="0.25">
      <c r="B17" s="3" t="s">
        <v>288</v>
      </c>
      <c r="C17" s="3" t="s">
        <v>249</v>
      </c>
      <c r="D17" s="5" t="s">
        <v>289</v>
      </c>
    </row>
    <row r="18" spans="2:4" x14ac:dyDescent="0.25">
      <c r="B18" s="3" t="s">
        <v>290</v>
      </c>
      <c r="C18" s="3" t="s">
        <v>249</v>
      </c>
      <c r="D18" s="5" t="s">
        <v>291</v>
      </c>
    </row>
    <row r="19" spans="2:4" x14ac:dyDescent="0.25">
      <c r="B19" s="3" t="s">
        <v>292</v>
      </c>
      <c r="C19" s="3" t="s">
        <v>238</v>
      </c>
      <c r="D19" s="5" t="s">
        <v>293</v>
      </c>
    </row>
    <row r="20" spans="2:4" x14ac:dyDescent="0.25">
      <c r="B20" s="3" t="s">
        <v>294</v>
      </c>
      <c r="C20" s="3" t="s">
        <v>238</v>
      </c>
      <c r="D20" s="5" t="s">
        <v>502</v>
      </c>
    </row>
  </sheetData>
  <mergeCells count="4">
    <mergeCell ref="B3:D3"/>
    <mergeCell ref="B2:D2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BA7F-693A-4721-929D-7C6A0803B92E}">
  <sheetPr codeName="Hoja6"/>
  <dimension ref="B2:D18"/>
  <sheetViews>
    <sheetView showGridLines="0" zoomScaleNormal="100" workbookViewId="0">
      <selection activeCell="C9" sqref="C9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75</v>
      </c>
      <c r="C2" s="11"/>
      <c r="D2" s="11"/>
    </row>
    <row r="3" spans="2:4" x14ac:dyDescent="0.25">
      <c r="B3" s="23" t="str">
        <f>"STORED PROCEDURE "&amp;UPPER($B$2)</f>
        <v>STORED PROCEDURE UPDATEUSER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updateUser</v>
      </c>
      <c r="C5" s="20"/>
      <c r="D5" s="5" t="s">
        <v>503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505</v>
      </c>
    </row>
    <row r="8" spans="2:4" x14ac:dyDescent="0.25">
      <c r="B8" s="3" t="s">
        <v>266</v>
      </c>
      <c r="C8" s="3" t="s">
        <v>238</v>
      </c>
      <c r="D8" s="5" t="s">
        <v>506</v>
      </c>
    </row>
    <row r="9" spans="2:4" x14ac:dyDescent="0.25">
      <c r="B9" s="3" t="s">
        <v>268</v>
      </c>
      <c r="C9" s="3" t="s">
        <v>249</v>
      </c>
      <c r="D9" s="5" t="s">
        <v>507</v>
      </c>
    </row>
    <row r="10" spans="2:4" x14ac:dyDescent="0.25">
      <c r="B10" s="3" t="s">
        <v>270</v>
      </c>
      <c r="C10" s="3" t="s">
        <v>249</v>
      </c>
      <c r="D10" s="5" t="s">
        <v>508</v>
      </c>
    </row>
    <row r="11" spans="2:4" x14ac:dyDescent="0.25">
      <c r="B11" s="3" t="s">
        <v>272</v>
      </c>
      <c r="C11" s="3" t="s">
        <v>249</v>
      </c>
      <c r="D11" s="5" t="s">
        <v>509</v>
      </c>
    </row>
    <row r="12" spans="2:4" x14ac:dyDescent="0.25">
      <c r="B12" s="3" t="s">
        <v>274</v>
      </c>
      <c r="C12" s="3" t="s">
        <v>249</v>
      </c>
      <c r="D12" s="5" t="s">
        <v>510</v>
      </c>
    </row>
    <row r="13" spans="2:4" x14ac:dyDescent="0.25">
      <c r="B13" s="3" t="s">
        <v>276</v>
      </c>
      <c r="C13" s="3" t="s">
        <v>277</v>
      </c>
      <c r="D13" s="5" t="s">
        <v>511</v>
      </c>
    </row>
    <row r="14" spans="2:4" x14ac:dyDescent="0.25">
      <c r="B14" s="3" t="s">
        <v>279</v>
      </c>
      <c r="C14" s="3" t="s">
        <v>280</v>
      </c>
      <c r="D14" s="5" t="s">
        <v>512</v>
      </c>
    </row>
    <row r="15" spans="2:4" x14ac:dyDescent="0.25">
      <c r="B15" s="3" t="s">
        <v>282</v>
      </c>
      <c r="C15" s="3" t="s">
        <v>249</v>
      </c>
      <c r="D15" s="5" t="s">
        <v>513</v>
      </c>
    </row>
    <row r="16" spans="2:4" x14ac:dyDescent="0.25">
      <c r="B16" s="3" t="s">
        <v>286</v>
      </c>
      <c r="C16" s="3" t="s">
        <v>238</v>
      </c>
      <c r="D16" s="5" t="s">
        <v>514</v>
      </c>
    </row>
    <row r="17" spans="2:4" x14ac:dyDescent="0.25">
      <c r="B17" s="3" t="s">
        <v>288</v>
      </c>
      <c r="C17" s="3" t="s">
        <v>249</v>
      </c>
      <c r="D17" s="5" t="s">
        <v>515</v>
      </c>
    </row>
    <row r="18" spans="2:4" x14ac:dyDescent="0.25">
      <c r="B18" s="3" t="s">
        <v>290</v>
      </c>
      <c r="C18" s="3" t="s">
        <v>249</v>
      </c>
      <c r="D18" s="5" t="s">
        <v>516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C224F-CB7C-41BF-B9C6-D2B0D8FFA78F}">
  <sheetPr codeName="Hoja8"/>
  <dimension ref="B2:D7"/>
  <sheetViews>
    <sheetView showGridLines="0" zoomScaleNormal="100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77</v>
      </c>
      <c r="C2" s="11"/>
      <c r="D2" s="11"/>
    </row>
    <row r="3" spans="2:4" x14ac:dyDescent="0.25">
      <c r="B3" s="23" t="str">
        <f>"STORED PROCEDURE "&amp;UPPER($B$2)</f>
        <v>STORED PROCEDURE DELETEUSER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deleteUser</v>
      </c>
      <c r="C5" s="20"/>
      <c r="D5" s="5" t="s">
        <v>503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517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ABE1-3B84-4625-8ED9-F37FCBD97DF9}">
  <sheetPr codeName="Hoja23"/>
  <dimension ref="B2:D9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79</v>
      </c>
      <c r="C2" s="11"/>
      <c r="D2" s="11"/>
    </row>
    <row r="3" spans="2:4" x14ac:dyDescent="0.25">
      <c r="B3" s="23" t="str">
        <f>"STORED PROCEDURE "&amp;UPPER($B$2)</f>
        <v>STORED PROCEDURE BUYPRODUCT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buyProduct</v>
      </c>
      <c r="C5" s="20"/>
      <c r="D5" s="5" t="s">
        <v>518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519</v>
      </c>
    </row>
    <row r="8" spans="2:4" x14ac:dyDescent="0.25">
      <c r="B8" s="3" t="s">
        <v>237</v>
      </c>
      <c r="C8" s="3" t="s">
        <v>238</v>
      </c>
      <c r="D8" s="5" t="s">
        <v>520</v>
      </c>
    </row>
    <row r="9" spans="2:4" x14ac:dyDescent="0.25">
      <c r="B9" s="3" t="s">
        <v>521</v>
      </c>
      <c r="C9" s="3" t="s">
        <v>238</v>
      </c>
      <c r="D9" s="5" t="s">
        <v>522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F06F-9B7F-4A82-AB9A-B674DBD02D08}">
  <sheetPr codeName="Hoja46"/>
  <dimension ref="B2:D9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81</v>
      </c>
      <c r="C2" s="11"/>
      <c r="D2" s="11"/>
    </row>
    <row r="3" spans="2:4" x14ac:dyDescent="0.25">
      <c r="B3" s="23" t="str">
        <f>"STORED PROCEDURE "&amp;UPPER($B$2)</f>
        <v>STORED PROCEDURE COMMENTPRODUCT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commentProduct</v>
      </c>
      <c r="C5" s="20"/>
      <c r="D5" s="5" t="s">
        <v>523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524</v>
      </c>
    </row>
    <row r="8" spans="2:4" x14ac:dyDescent="0.25">
      <c r="B8" s="3" t="s">
        <v>237</v>
      </c>
      <c r="C8" s="3" t="s">
        <v>238</v>
      </c>
      <c r="D8" s="5" t="s">
        <v>525</v>
      </c>
    </row>
    <row r="9" spans="2:4" x14ac:dyDescent="0.25">
      <c r="B9" s="3" t="s">
        <v>526</v>
      </c>
      <c r="C9" s="3" t="s">
        <v>249</v>
      </c>
      <c r="D9" s="5" t="s">
        <v>527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53CE-6CF6-4893-A971-D988C3BD459A}">
  <sheetPr codeName="Hoja47"/>
  <dimension ref="B2:D9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83</v>
      </c>
      <c r="C2" s="11"/>
      <c r="D2" s="11"/>
    </row>
    <row r="3" spans="2:4" x14ac:dyDescent="0.25">
      <c r="B3" s="23" t="str">
        <f>"STORED PROCEDURE "&amp;UPPER($B$2)</f>
        <v>STORED PROCEDURE UPDATECOMMENT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updateComment</v>
      </c>
      <c r="C5" s="20"/>
      <c r="D5" s="5" t="s">
        <v>528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524</v>
      </c>
    </row>
    <row r="8" spans="2:4" x14ac:dyDescent="0.25">
      <c r="B8" s="3" t="s">
        <v>237</v>
      </c>
      <c r="C8" s="3" t="s">
        <v>238</v>
      </c>
      <c r="D8" s="5" t="s">
        <v>525</v>
      </c>
    </row>
    <row r="9" spans="2:4" ht="30" x14ac:dyDescent="0.25">
      <c r="B9" s="3" t="s">
        <v>526</v>
      </c>
      <c r="C9" s="3" t="s">
        <v>249</v>
      </c>
      <c r="D9" s="5" t="s">
        <v>529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511B-84C8-4941-834B-39B96A3383DA}">
  <sheetPr codeName="Hoja48"/>
  <dimension ref="B2:D9"/>
  <sheetViews>
    <sheetView showGridLines="0" zoomScaleNormal="100" workbookViewId="0">
      <selection activeCell="B9" sqref="B9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85</v>
      </c>
      <c r="C2" s="11"/>
      <c r="D2" s="11"/>
    </row>
    <row r="3" spans="2:4" x14ac:dyDescent="0.25">
      <c r="B3" s="23" t="str">
        <f>"STORED PROCEDURE "&amp;UPPER($B$2)</f>
        <v>STORED PROCEDURE REVIEWPRODUCT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reviewProduct</v>
      </c>
      <c r="C5" s="20"/>
      <c r="D5" s="5" t="s">
        <v>530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531</v>
      </c>
    </row>
    <row r="8" spans="2:4" x14ac:dyDescent="0.25">
      <c r="B8" s="3" t="s">
        <v>237</v>
      </c>
      <c r="C8" s="3" t="s">
        <v>238</v>
      </c>
      <c r="D8" s="5" t="s">
        <v>532</v>
      </c>
    </row>
    <row r="9" spans="2:4" x14ac:dyDescent="0.25">
      <c r="B9" s="3" t="s">
        <v>533</v>
      </c>
      <c r="C9" s="3" t="s">
        <v>238</v>
      </c>
      <c r="D9" s="5" t="s">
        <v>534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1C866-3032-41D8-913E-5E4ABDAAE7FB}">
  <sheetPr codeName="Hoja49"/>
  <dimension ref="B2:D9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87</v>
      </c>
      <c r="C2" s="11"/>
      <c r="D2" s="11"/>
    </row>
    <row r="3" spans="2:4" x14ac:dyDescent="0.25">
      <c r="B3" s="23" t="str">
        <f>"STORED PROCEDURE "&amp;UPPER($B$2)</f>
        <v>STORED PROCEDURE UPDATEREVIEW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45" x14ac:dyDescent="0.25">
      <c r="B5" s="19" t="str">
        <f>B2</f>
        <v>updateReview</v>
      </c>
      <c r="C5" s="20"/>
      <c r="D5" s="5" t="s">
        <v>535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531</v>
      </c>
    </row>
    <row r="8" spans="2:4" x14ac:dyDescent="0.25">
      <c r="B8" s="3" t="s">
        <v>237</v>
      </c>
      <c r="C8" s="3" t="s">
        <v>238</v>
      </c>
      <c r="D8" s="5" t="s">
        <v>532</v>
      </c>
    </row>
    <row r="9" spans="2:4" x14ac:dyDescent="0.25">
      <c r="B9" s="3" t="s">
        <v>533</v>
      </c>
      <c r="C9" s="3" t="s">
        <v>238</v>
      </c>
      <c r="D9" s="5" t="s">
        <v>534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FF00-4E7D-42E4-84B5-1A8B96EA76A9}">
  <sheetPr codeName="Hoja50"/>
  <dimension ref="B2:D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89</v>
      </c>
      <c r="C2" s="11"/>
      <c r="D2" s="11"/>
    </row>
    <row r="3" spans="2:4" x14ac:dyDescent="0.25">
      <c r="B3" s="23" t="str">
        <f>"STORED PROCEDURE "&amp;UPPER($B$2)</f>
        <v>STORED PROCEDURE INSERTFAVORITE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45" x14ac:dyDescent="0.25">
      <c r="B5" s="19" t="str">
        <f>B2</f>
        <v>insertFavorite</v>
      </c>
      <c r="C5" s="20"/>
      <c r="D5" s="5" t="s">
        <v>536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537</v>
      </c>
    </row>
    <row r="8" spans="2:4" x14ac:dyDescent="0.25">
      <c r="B8" s="3" t="s">
        <v>237</v>
      </c>
      <c r="C8" s="3" t="s">
        <v>238</v>
      </c>
      <c r="D8" s="5" t="s">
        <v>538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DF5D8-91C3-46C9-9B5B-E03B60CC4337}">
  <sheetPr codeName="Hoja51"/>
  <dimension ref="B2:D7"/>
  <sheetViews>
    <sheetView showGridLines="0" zoomScaleNormal="100" workbookViewId="0">
      <selection activeCell="G14" sqref="G14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91</v>
      </c>
      <c r="C2" s="11"/>
      <c r="D2" s="11"/>
    </row>
    <row r="3" spans="2:4" x14ac:dyDescent="0.25">
      <c r="B3" s="23" t="str">
        <f>"STORED PROCEDURE "&amp;UPPER($B$2)</f>
        <v>STORED PROCEDURE GETWISHLIST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getWishlist</v>
      </c>
      <c r="C5" s="20"/>
      <c r="D5" s="5" t="s">
        <v>539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540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8DD26-C835-4F49-B2AA-FBA521BD6E87}">
  <sheetPr codeName="Hoja52"/>
  <dimension ref="B2:D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93</v>
      </c>
      <c r="C2" s="11"/>
      <c r="D2" s="11"/>
    </row>
    <row r="3" spans="2:4" x14ac:dyDescent="0.25">
      <c r="B3" s="23" t="str">
        <f>"STORED PROCEDURE "&amp;UPPER($B$2)</f>
        <v>STORED PROCEDURE DELETECOMMENT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deleteComment</v>
      </c>
      <c r="C5" s="20"/>
      <c r="D5" s="5" t="s">
        <v>541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542</v>
      </c>
    </row>
    <row r="8" spans="2:4" x14ac:dyDescent="0.25">
      <c r="B8" s="3" t="s">
        <v>237</v>
      </c>
      <c r="C8" s="3" t="s">
        <v>238</v>
      </c>
      <c r="D8" s="5" t="s">
        <v>543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1AFD-ADFD-4223-9DE7-724BE5F8A244}">
  <sheetPr codeName="Hoja53"/>
  <dimension ref="B2:D8"/>
  <sheetViews>
    <sheetView showGridLines="0" zoomScaleNormal="100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95</v>
      </c>
      <c r="C2" s="11"/>
      <c r="D2" s="11"/>
    </row>
    <row r="3" spans="2:4" x14ac:dyDescent="0.25">
      <c r="B3" s="23" t="str">
        <f>"STORED PROCEDURE "&amp;UPPER($B$2)</f>
        <v>STORED PROCEDURE DELETEREVIEW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deleteReview</v>
      </c>
      <c r="C5" s="20"/>
      <c r="D5" s="5" t="s">
        <v>544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545</v>
      </c>
    </row>
    <row r="8" spans="2:4" x14ac:dyDescent="0.25">
      <c r="B8" s="3" t="s">
        <v>237</v>
      </c>
      <c r="C8" s="3" t="s">
        <v>238</v>
      </c>
      <c r="D8" s="5" t="s">
        <v>546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8DF9D-E4DF-4356-950B-962AE2A4C4C3}">
  <sheetPr codeName="Hoja54"/>
  <dimension ref="B2:D8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97</v>
      </c>
      <c r="C2" s="11"/>
      <c r="D2" s="11"/>
    </row>
    <row r="3" spans="2:4" x14ac:dyDescent="0.25">
      <c r="B3" s="23" t="str">
        <f>"STORED PROCEDURE "&amp;UPPER($B$2)</f>
        <v>STORED PROCEDURE DELETEFAVORITE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deleteFavorite</v>
      </c>
      <c r="C5" s="20"/>
      <c r="D5" s="5" t="s">
        <v>547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548</v>
      </c>
    </row>
    <row r="8" spans="2:4" x14ac:dyDescent="0.25">
      <c r="B8" s="3" t="s">
        <v>237</v>
      </c>
      <c r="C8" s="3" t="s">
        <v>238</v>
      </c>
      <c r="D8" s="5" t="s">
        <v>549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10CC-EF5C-46CE-AF74-4F81B28A8230}">
  <sheetPr codeName="Hoja55"/>
  <dimension ref="B2:D11"/>
  <sheetViews>
    <sheetView showGridLines="0" zoomScaleNormal="100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99</v>
      </c>
      <c r="C2" s="11"/>
      <c r="D2" s="11"/>
    </row>
    <row r="3" spans="2:4" x14ac:dyDescent="0.25">
      <c r="B3" s="23" t="str">
        <f>"STORED PROCEDURE "&amp;UPPER($B$2)</f>
        <v>STORED PROCEDURE INSERTCARD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insertCard</v>
      </c>
      <c r="C5" s="20"/>
      <c r="D5" s="5" t="s">
        <v>550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492</v>
      </c>
    </row>
    <row r="8" spans="2:4" x14ac:dyDescent="0.25">
      <c r="B8" s="3" t="s">
        <v>551</v>
      </c>
      <c r="C8" s="3" t="s">
        <v>238</v>
      </c>
      <c r="D8" s="5" t="s">
        <v>552</v>
      </c>
    </row>
    <row r="9" spans="2:4" x14ac:dyDescent="0.25">
      <c r="B9" s="3" t="s">
        <v>553</v>
      </c>
      <c r="C9" s="3" t="s">
        <v>277</v>
      </c>
      <c r="D9" s="5" t="s">
        <v>470</v>
      </c>
    </row>
    <row r="10" spans="2:4" x14ac:dyDescent="0.25">
      <c r="B10" s="3" t="s">
        <v>554</v>
      </c>
      <c r="C10" s="3" t="s">
        <v>238</v>
      </c>
      <c r="D10" s="5" t="s">
        <v>555</v>
      </c>
    </row>
    <row r="11" spans="2:4" x14ac:dyDescent="0.25">
      <c r="B11" s="3" t="s">
        <v>556</v>
      </c>
      <c r="C11" s="3" t="s">
        <v>249</v>
      </c>
      <c r="D11" s="5" t="s">
        <v>557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FA01A-3898-44FA-A337-B25300EBC752}">
  <sheetPr codeName="Hoja56"/>
  <dimension ref="B2:D8"/>
  <sheetViews>
    <sheetView showGridLines="0" zoomScaleNormal="100" workbookViewId="0">
      <selection activeCell="B2" sqref="B2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101</v>
      </c>
      <c r="C2" s="11"/>
      <c r="D2" s="11"/>
    </row>
    <row r="3" spans="2:4" x14ac:dyDescent="0.25">
      <c r="B3" s="23" t="str">
        <f>"STORED PROCEDURE "&amp;UPPER($B$2)</f>
        <v>STORED PROCEDURE REMOVECARD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removeCard</v>
      </c>
      <c r="C5" s="20"/>
      <c r="D5" s="5" t="s">
        <v>558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559</v>
      </c>
    </row>
    <row r="8" spans="2:4" x14ac:dyDescent="0.25">
      <c r="B8" s="3" t="s">
        <v>560</v>
      </c>
      <c r="C8" s="3" t="s">
        <v>238</v>
      </c>
      <c r="D8" s="5" t="s">
        <v>561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5937-251E-4BCF-9EDE-8B716963A75A}">
  <sheetPr codeName="Hoja57"/>
  <dimension ref="B2:D7"/>
  <sheetViews>
    <sheetView showGridLines="0" zoomScaleNormal="100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103</v>
      </c>
      <c r="C2" s="11"/>
      <c r="D2" s="11"/>
    </row>
    <row r="3" spans="2:4" x14ac:dyDescent="0.25">
      <c r="B3" s="23" t="str">
        <f>"STORED PROCEDURE "&amp;UPPER($B$2)</f>
        <v>STORED PROCEDURE GETPAYMENTMETHODS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getPaymentMethods</v>
      </c>
      <c r="C5" s="20"/>
      <c r="D5" s="5" t="s">
        <v>562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504</v>
      </c>
      <c r="C7" s="3" t="s">
        <v>238</v>
      </c>
      <c r="D7" s="5" t="s">
        <v>563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BC2C-00B2-4703-9E84-34BF6FB18DE5}">
  <sheetPr codeName="Hoja11"/>
  <dimension ref="B2:D18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105</v>
      </c>
      <c r="C2" s="11"/>
      <c r="D2" s="11"/>
    </row>
    <row r="3" spans="2:4" x14ac:dyDescent="0.25">
      <c r="B3" s="23" t="str">
        <f>"STORED PROCEDURE "&amp;UPPER($B$2)</f>
        <v>STORED PROCEDURE INSERTPARTICIPANT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45" x14ac:dyDescent="0.25">
      <c r="B5" s="19" t="str">
        <f>B2</f>
        <v>insertParticipant</v>
      </c>
      <c r="C5" s="20"/>
      <c r="D5" s="5" t="s">
        <v>564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266</v>
      </c>
      <c r="C7" s="3" t="s">
        <v>238</v>
      </c>
      <c r="D7" s="5" t="s">
        <v>267</v>
      </c>
    </row>
    <row r="8" spans="2:4" x14ac:dyDescent="0.25">
      <c r="B8" s="3" t="s">
        <v>268</v>
      </c>
      <c r="C8" s="3" t="s">
        <v>249</v>
      </c>
      <c r="D8" s="5" t="s">
        <v>269</v>
      </c>
    </row>
    <row r="9" spans="2:4" x14ac:dyDescent="0.25">
      <c r="B9" s="3" t="s">
        <v>270</v>
      </c>
      <c r="C9" s="3" t="s">
        <v>249</v>
      </c>
      <c r="D9" s="5" t="s">
        <v>271</v>
      </c>
    </row>
    <row r="10" spans="2:4" x14ac:dyDescent="0.25">
      <c r="B10" s="3" t="s">
        <v>272</v>
      </c>
      <c r="C10" s="3" t="s">
        <v>249</v>
      </c>
      <c r="D10" s="5" t="s">
        <v>273</v>
      </c>
    </row>
    <row r="11" spans="2:4" x14ac:dyDescent="0.25">
      <c r="B11" s="3" t="s">
        <v>274</v>
      </c>
      <c r="C11" s="3" t="s">
        <v>249</v>
      </c>
      <c r="D11" s="5" t="s">
        <v>275</v>
      </c>
    </row>
    <row r="12" spans="2:4" x14ac:dyDescent="0.25">
      <c r="B12" s="3" t="s">
        <v>276</v>
      </c>
      <c r="C12" s="3" t="s">
        <v>277</v>
      </c>
      <c r="D12" s="5" t="s">
        <v>278</v>
      </c>
    </row>
    <row r="13" spans="2:4" x14ac:dyDescent="0.25">
      <c r="B13" s="3" t="s">
        <v>565</v>
      </c>
      <c r="C13" s="3" t="s">
        <v>238</v>
      </c>
      <c r="D13" s="5" t="s">
        <v>566</v>
      </c>
    </row>
    <row r="14" spans="2:4" x14ac:dyDescent="0.25">
      <c r="B14" s="3" t="s">
        <v>567</v>
      </c>
      <c r="C14" s="3" t="s">
        <v>249</v>
      </c>
      <c r="D14" s="5" t="s">
        <v>412</v>
      </c>
    </row>
    <row r="15" spans="2:4" x14ac:dyDescent="0.25">
      <c r="B15" s="3" t="s">
        <v>568</v>
      </c>
      <c r="C15" s="3" t="s">
        <v>238</v>
      </c>
      <c r="D15" s="5" t="s">
        <v>414</v>
      </c>
    </row>
    <row r="16" spans="2:4" x14ac:dyDescent="0.25">
      <c r="B16" s="3" t="s">
        <v>569</v>
      </c>
      <c r="C16" s="3" t="s">
        <v>249</v>
      </c>
      <c r="D16" s="5" t="s">
        <v>416</v>
      </c>
    </row>
    <row r="17" spans="2:4" x14ac:dyDescent="0.25">
      <c r="B17" s="3" t="s">
        <v>279</v>
      </c>
      <c r="C17" s="3" t="s">
        <v>280</v>
      </c>
      <c r="D17" s="5" t="s">
        <v>570</v>
      </c>
    </row>
    <row r="18" spans="2:4" x14ac:dyDescent="0.25">
      <c r="B18" s="3" t="s">
        <v>240</v>
      </c>
      <c r="C18" s="3" t="s">
        <v>238</v>
      </c>
      <c r="D18" s="5" t="s">
        <v>571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F631-6A4E-4525-B851-73B9F0A13CE4}">
  <sheetPr codeName="Hoja58"/>
  <dimension ref="B2:D21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107</v>
      </c>
      <c r="C2" s="11"/>
      <c r="D2" s="11"/>
    </row>
    <row r="3" spans="2:4" x14ac:dyDescent="0.25">
      <c r="B3" s="23" t="str">
        <f>"STORED PROCEDURE "&amp;UPPER($B$2)</f>
        <v>STORED PROCEDURE INSERTRELATIVE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insertRelative</v>
      </c>
      <c r="C5" s="20"/>
      <c r="D5" s="5" t="s">
        <v>572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240</v>
      </c>
      <c r="C7" s="3" t="s">
        <v>238</v>
      </c>
      <c r="D7" s="5" t="s">
        <v>573</v>
      </c>
    </row>
    <row r="8" spans="2:4" x14ac:dyDescent="0.25">
      <c r="B8" s="3" t="s">
        <v>574</v>
      </c>
      <c r="C8" s="3" t="s">
        <v>238</v>
      </c>
      <c r="D8" s="5" t="s">
        <v>575</v>
      </c>
    </row>
    <row r="9" spans="2:4" x14ac:dyDescent="0.25">
      <c r="B9" s="3" t="s">
        <v>576</v>
      </c>
      <c r="C9" s="3" t="s">
        <v>238</v>
      </c>
      <c r="D9" s="5" t="s">
        <v>577</v>
      </c>
    </row>
    <row r="12" spans="2:4" x14ac:dyDescent="0.25">
      <c r="B12" s="13"/>
      <c r="C12" s="13"/>
      <c r="D12" s="13"/>
    </row>
    <row r="13" spans="2:4" x14ac:dyDescent="0.25">
      <c r="B13" s="13"/>
      <c r="C13" s="13"/>
      <c r="D13" s="13"/>
    </row>
    <row r="14" spans="2:4" x14ac:dyDescent="0.25">
      <c r="B14" s="13"/>
      <c r="C14" s="13"/>
      <c r="D14" s="13"/>
    </row>
    <row r="15" spans="2:4" x14ac:dyDescent="0.25">
      <c r="B15" s="13"/>
      <c r="C15" s="13"/>
      <c r="D15" s="13"/>
    </row>
    <row r="16" spans="2:4" x14ac:dyDescent="0.25">
      <c r="B16" s="13"/>
      <c r="C16" s="13"/>
      <c r="D16" s="13"/>
    </row>
    <row r="17" spans="2:4" x14ac:dyDescent="0.25">
      <c r="B17" s="13"/>
      <c r="C17" s="13"/>
      <c r="D17" s="13"/>
    </row>
    <row r="18" spans="2:4" x14ac:dyDescent="0.25">
      <c r="B18" s="13"/>
      <c r="C18" s="13"/>
      <c r="D18" s="13"/>
    </row>
    <row r="19" spans="2:4" x14ac:dyDescent="0.25">
      <c r="B19" s="13"/>
      <c r="C19" s="13"/>
      <c r="D19" s="13"/>
    </row>
    <row r="20" spans="2:4" x14ac:dyDescent="0.25">
      <c r="B20" s="13"/>
      <c r="C20" s="13"/>
      <c r="D20" s="13"/>
    </row>
    <row r="21" spans="2:4" x14ac:dyDescent="0.25">
      <c r="B21" s="13"/>
      <c r="C21" s="13"/>
      <c r="D21" s="13"/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2A874-3E34-4383-AB13-1C6489E7CDEB}">
  <sheetPr codeName="Hoja59"/>
  <dimension ref="B2:D7"/>
  <sheetViews>
    <sheetView showGridLines="0" zoomScaleNormal="100" workbookViewId="0"/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109</v>
      </c>
      <c r="C2" s="11"/>
      <c r="D2" s="11"/>
    </row>
    <row r="3" spans="2:4" x14ac:dyDescent="0.25">
      <c r="B3" s="23" t="str">
        <f>"STORED PROCEDURE "&amp;UPPER($B$2)</f>
        <v>STORED PROCEDURE DELETEPARTICIPANT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deleteParticipant</v>
      </c>
      <c r="C5" s="20"/>
      <c r="D5" s="5" t="s">
        <v>578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240</v>
      </c>
      <c r="C7" s="3" t="s">
        <v>238</v>
      </c>
      <c r="D7" s="5" t="s">
        <v>579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ABD5A-7481-48E6-9694-4812DF298963}">
  <sheetPr codeName="Hoja60"/>
  <dimension ref="B2:D18"/>
  <sheetViews>
    <sheetView showGridLines="0" zoomScaleNormal="100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111</v>
      </c>
      <c r="C2" s="11"/>
      <c r="D2" s="11"/>
    </row>
    <row r="3" spans="2:4" x14ac:dyDescent="0.25">
      <c r="B3" s="23" t="str">
        <f>"STORED PROCEDURE "&amp;UPPER($B$2)</f>
        <v>STORED PROCEDURE UPDATEPARTICIPANT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0" x14ac:dyDescent="0.25">
      <c r="B5" s="19" t="str">
        <f>B2</f>
        <v>updateParticipant</v>
      </c>
      <c r="C5" s="20"/>
      <c r="D5" s="5" t="s">
        <v>580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240</v>
      </c>
      <c r="C7" s="3" t="s">
        <v>238</v>
      </c>
      <c r="D7" s="5" t="s">
        <v>581</v>
      </c>
    </row>
    <row r="8" spans="2:4" x14ac:dyDescent="0.25">
      <c r="B8" s="3" t="s">
        <v>266</v>
      </c>
      <c r="C8" s="3" t="s">
        <v>238</v>
      </c>
      <c r="D8" s="5" t="s">
        <v>506</v>
      </c>
    </row>
    <row r="9" spans="2:4" x14ac:dyDescent="0.25">
      <c r="B9" s="3" t="s">
        <v>268</v>
      </c>
      <c r="C9" s="3" t="s">
        <v>249</v>
      </c>
      <c r="D9" s="5" t="s">
        <v>507</v>
      </c>
    </row>
    <row r="10" spans="2:4" x14ac:dyDescent="0.25">
      <c r="B10" s="3" t="s">
        <v>270</v>
      </c>
      <c r="C10" s="3" t="s">
        <v>249</v>
      </c>
      <c r="D10" s="5" t="s">
        <v>508</v>
      </c>
    </row>
    <row r="11" spans="2:4" x14ac:dyDescent="0.25">
      <c r="B11" s="3" t="s">
        <v>272</v>
      </c>
      <c r="C11" s="3" t="s">
        <v>249</v>
      </c>
      <c r="D11" s="5" t="s">
        <v>509</v>
      </c>
    </row>
    <row r="12" spans="2:4" x14ac:dyDescent="0.25">
      <c r="B12" s="3" t="s">
        <v>274</v>
      </c>
      <c r="C12" s="3" t="s">
        <v>249</v>
      </c>
      <c r="D12" s="5" t="s">
        <v>510</v>
      </c>
    </row>
    <row r="13" spans="2:4" x14ac:dyDescent="0.25">
      <c r="B13" s="3" t="s">
        <v>276</v>
      </c>
      <c r="C13" s="3" t="s">
        <v>277</v>
      </c>
      <c r="D13" s="5" t="s">
        <v>511</v>
      </c>
    </row>
    <row r="14" spans="2:4" x14ac:dyDescent="0.25">
      <c r="B14" s="3" t="s">
        <v>565</v>
      </c>
      <c r="C14" s="3" t="s">
        <v>238</v>
      </c>
      <c r="D14" s="5" t="s">
        <v>582</v>
      </c>
    </row>
    <row r="15" spans="2:4" x14ac:dyDescent="0.25">
      <c r="B15" s="3" t="s">
        <v>567</v>
      </c>
      <c r="C15" s="3" t="s">
        <v>249</v>
      </c>
      <c r="D15" s="5" t="s">
        <v>583</v>
      </c>
    </row>
    <row r="16" spans="2:4" x14ac:dyDescent="0.25">
      <c r="B16" s="3" t="s">
        <v>568</v>
      </c>
      <c r="C16" s="3" t="s">
        <v>238</v>
      </c>
      <c r="D16" s="5" t="s">
        <v>584</v>
      </c>
    </row>
    <row r="17" spans="2:4" x14ac:dyDescent="0.25">
      <c r="B17" s="3" t="s">
        <v>569</v>
      </c>
      <c r="C17" s="3" t="s">
        <v>249</v>
      </c>
      <c r="D17" s="5" t="s">
        <v>585</v>
      </c>
    </row>
    <row r="18" spans="2:4" x14ac:dyDescent="0.25">
      <c r="B18" s="3" t="s">
        <v>279</v>
      </c>
      <c r="C18" s="3" t="s">
        <v>280</v>
      </c>
      <c r="D18" s="5" t="s">
        <v>586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84408-E121-479E-B67F-1E185807B23C}">
  <sheetPr codeName="Hoja61"/>
  <dimension ref="B2:D7"/>
  <sheetViews>
    <sheetView showGridLines="0" zoomScaleNormal="100" workbookViewId="0">
      <selection activeCell="B9" sqref="B9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113</v>
      </c>
      <c r="C2" s="11"/>
      <c r="D2" s="11"/>
    </row>
    <row r="3" spans="2:4" x14ac:dyDescent="0.25">
      <c r="B3" s="23" t="str">
        <f>"STORED PROCEDURE "&amp;UPPER($B$2)</f>
        <v>STORED PROCEDURE GETPARTICIPANTINFO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getParticipantInfo</v>
      </c>
      <c r="C5" s="20"/>
      <c r="D5" s="5" t="s">
        <v>587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240</v>
      </c>
      <c r="C7" s="3" t="s">
        <v>238</v>
      </c>
      <c r="D7" s="5" t="s">
        <v>457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7FEF-8228-483E-823B-41B126B13006}">
  <sheetPr codeName="Hoja62"/>
  <dimension ref="B2:D7"/>
  <sheetViews>
    <sheetView showGridLines="0" zoomScaleNormal="100" workbookViewId="0">
      <selection activeCell="B9" sqref="B9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115</v>
      </c>
      <c r="C2" s="11"/>
      <c r="D2" s="11"/>
    </row>
    <row r="3" spans="2:4" x14ac:dyDescent="0.25">
      <c r="B3" s="23" t="str">
        <f>"STORED PROCEDURE "&amp;UPPER($B$2)</f>
        <v>STORED PROCEDURE GETPARTICIPANTNAT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getParticipantNat</v>
      </c>
      <c r="C5" s="20"/>
      <c r="D5" s="5" t="s">
        <v>588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240</v>
      </c>
      <c r="C7" s="3" t="s">
        <v>238</v>
      </c>
      <c r="D7" s="5" t="s">
        <v>457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2A304-A887-457A-996C-4A7C5D769069}">
  <sheetPr codeName="Hoja63"/>
  <dimension ref="B2:D6"/>
  <sheetViews>
    <sheetView showGridLines="0" zoomScaleNormal="100" workbookViewId="0">
      <selection activeCell="C7" sqref="C7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117</v>
      </c>
      <c r="C2" s="11"/>
      <c r="D2" s="11"/>
    </row>
    <row r="3" spans="2:4" x14ac:dyDescent="0.25">
      <c r="B3" s="23" t="str">
        <f>"STORED PROCEDURE "&amp;UPPER($B$2)</f>
        <v>STORED PROCEDURE GETINFOPARTICIPANTS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getInfoParticipants</v>
      </c>
      <c r="C5" s="20"/>
      <c r="D5" s="5" t="s">
        <v>589</v>
      </c>
    </row>
    <row r="6" spans="2:4" s="2" customFormat="1" ht="36" customHeight="1" x14ac:dyDescent="0.25">
      <c r="B6"/>
      <c r="C6"/>
      <c r="D6"/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6C065-FB7D-4108-B0FA-E478C3F5995D}">
  <sheetPr codeName="Hoja64"/>
  <dimension ref="B2:D7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8.85546875" bestFit="1" customWidth="1"/>
    <col min="3" max="3" width="18.85546875" customWidth="1"/>
    <col min="4" max="4" width="59.42578125" customWidth="1"/>
  </cols>
  <sheetData>
    <row r="2" spans="2:4" x14ac:dyDescent="0.25">
      <c r="B2" s="11" t="s">
        <v>119</v>
      </c>
      <c r="C2" s="11"/>
      <c r="D2" s="11"/>
    </row>
    <row r="3" spans="2:4" x14ac:dyDescent="0.25">
      <c r="B3" s="23" t="str">
        <f>"STORED PROCEDURE "&amp;UPPER($B$2)</f>
        <v>STORED PROCEDURE GETPARTICIPANTRELATIVES</v>
      </c>
      <c r="C3" s="23"/>
      <c r="D3" s="23"/>
    </row>
    <row r="4" spans="2:4" x14ac:dyDescent="0.25">
      <c r="B4" s="16" t="s">
        <v>233</v>
      </c>
      <c r="C4" s="17"/>
      <c r="D4" s="1" t="s">
        <v>234</v>
      </c>
    </row>
    <row r="5" spans="2:4" s="2" customFormat="1" ht="36" customHeight="1" x14ac:dyDescent="0.25">
      <c r="B5" s="19" t="str">
        <f>B2</f>
        <v>getParticipantRelatives</v>
      </c>
      <c r="C5" s="20"/>
      <c r="D5" s="5" t="s">
        <v>590</v>
      </c>
    </row>
    <row r="6" spans="2:4" s="2" customFormat="1" ht="36" customHeight="1" x14ac:dyDescent="0.25">
      <c r="B6" s="1" t="s">
        <v>236</v>
      </c>
      <c r="C6" s="1" t="s">
        <v>2</v>
      </c>
      <c r="D6" s="1" t="s">
        <v>234</v>
      </c>
    </row>
    <row r="7" spans="2:4" x14ac:dyDescent="0.25">
      <c r="B7" s="3" t="s">
        <v>240</v>
      </c>
      <c r="C7" s="3" t="s">
        <v>238</v>
      </c>
      <c r="D7" s="5" t="s">
        <v>457</v>
      </c>
    </row>
  </sheetData>
  <mergeCells count="3">
    <mergeCell ref="B3:D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6C963-73B4-40D9-9CB8-8E13F19E618A}">
  <sheetPr codeName="Hoja102"/>
  <dimension ref="D4:G16"/>
  <sheetViews>
    <sheetView workbookViewId="0">
      <selection activeCell="E20" sqref="E20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349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30.75" thickBot="1" x14ac:dyDescent="0.3">
      <c r="D7" s="2"/>
      <c r="E7" s="19" t="str">
        <f>E4</f>
        <v>insertSystemUSer</v>
      </c>
      <c r="F7" s="20"/>
      <c r="G7" s="6" t="s">
        <v>124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350</v>
      </c>
      <c r="F9" s="3" t="s">
        <v>238</v>
      </c>
      <c r="G9" s="5" t="s">
        <v>267</v>
      </c>
    </row>
    <row r="10" spans="4:7" x14ac:dyDescent="0.25">
      <c r="E10" s="3" t="s">
        <v>282</v>
      </c>
      <c r="F10" s="3" t="s">
        <v>249</v>
      </c>
      <c r="G10" s="5" t="s">
        <v>283</v>
      </c>
    </row>
    <row r="11" spans="4:7" x14ac:dyDescent="0.25">
      <c r="E11" s="3" t="s">
        <v>284</v>
      </c>
      <c r="F11" s="3" t="s">
        <v>238</v>
      </c>
      <c r="G11" s="5" t="s">
        <v>285</v>
      </c>
    </row>
    <row r="12" spans="4:7" x14ac:dyDescent="0.25">
      <c r="E12" s="3" t="s">
        <v>286</v>
      </c>
      <c r="F12" s="3" t="s">
        <v>238</v>
      </c>
      <c r="G12" s="5" t="s">
        <v>287</v>
      </c>
    </row>
    <row r="13" spans="4:7" x14ac:dyDescent="0.25">
      <c r="E13" s="3" t="s">
        <v>288</v>
      </c>
      <c r="F13" s="3" t="s">
        <v>249</v>
      </c>
      <c r="G13" s="5" t="s">
        <v>289</v>
      </c>
    </row>
    <row r="14" spans="4:7" x14ac:dyDescent="0.25">
      <c r="E14" s="3" t="s">
        <v>290</v>
      </c>
      <c r="F14" s="3" t="s">
        <v>249</v>
      </c>
      <c r="G14" s="5" t="s">
        <v>291</v>
      </c>
    </row>
    <row r="15" spans="4:7" x14ac:dyDescent="0.25">
      <c r="E15" s="3" t="s">
        <v>292</v>
      </c>
      <c r="F15" s="3" t="s">
        <v>238</v>
      </c>
      <c r="G15" s="5" t="s">
        <v>293</v>
      </c>
    </row>
    <row r="16" spans="4:7" x14ac:dyDescent="0.25">
      <c r="E16" s="3" t="s">
        <v>351</v>
      </c>
      <c r="F16" s="3" t="s">
        <v>238</v>
      </c>
      <c r="G16" s="5" t="s">
        <v>348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07C2-E080-4394-B126-6CA933A4DA9E}">
  <sheetPr codeName="Hoja101"/>
  <dimension ref="D5:H17"/>
  <sheetViews>
    <sheetView workbookViewId="0"/>
  </sheetViews>
  <sheetFormatPr baseColWidth="10" defaultColWidth="11.42578125" defaultRowHeight="15" x14ac:dyDescent="0.25"/>
  <cols>
    <col min="2" max="2" width="11.42578125" customWidth="1"/>
    <col min="4" max="4" width="11.42578125" customWidth="1"/>
    <col min="5" max="5" width="18.85546875" bestFit="1" customWidth="1"/>
    <col min="6" max="6" width="18.85546875" customWidth="1"/>
    <col min="7" max="7" width="59.42578125" customWidth="1"/>
  </cols>
  <sheetData>
    <row r="5" spans="4:8" x14ac:dyDescent="0.25">
      <c r="E5" s="15" t="s">
        <v>121</v>
      </c>
      <c r="F5" s="15"/>
      <c r="G5" s="15"/>
    </row>
    <row r="6" spans="4:8" x14ac:dyDescent="0.25">
      <c r="E6" s="16" t="str">
        <f>"STORED PROCEDURE "&amp;UPPER($B$2)</f>
        <v xml:space="preserve">STORED PROCEDURE </v>
      </c>
      <c r="F6" s="18"/>
      <c r="G6" s="17"/>
    </row>
    <row r="7" spans="4:8" ht="15.75" thickBot="1" x14ac:dyDescent="0.3">
      <c r="E7" s="16" t="s">
        <v>233</v>
      </c>
      <c r="F7" s="17"/>
      <c r="G7" s="1" t="s">
        <v>234</v>
      </c>
    </row>
    <row r="8" spans="4:8" ht="30.75" thickBot="1" x14ac:dyDescent="0.3">
      <c r="D8" s="2"/>
      <c r="E8" s="19" t="str">
        <f>E5</f>
        <v>insertPerson</v>
      </c>
      <c r="F8" s="20"/>
      <c r="G8" s="6" t="s">
        <v>122</v>
      </c>
      <c r="H8" s="2"/>
    </row>
    <row r="9" spans="4:8" x14ac:dyDescent="0.25">
      <c r="D9" s="2"/>
      <c r="E9" s="1" t="s">
        <v>236</v>
      </c>
      <c r="F9" s="1" t="s">
        <v>2</v>
      </c>
      <c r="G9" s="1" t="s">
        <v>234</v>
      </c>
      <c r="H9" s="2"/>
    </row>
    <row r="10" spans="4:8" x14ac:dyDescent="0.25">
      <c r="E10" s="3" t="s">
        <v>266</v>
      </c>
      <c r="F10" s="3" t="s">
        <v>238</v>
      </c>
      <c r="G10" s="5" t="s">
        <v>267</v>
      </c>
    </row>
    <row r="11" spans="4:8" x14ac:dyDescent="0.25">
      <c r="E11" s="3" t="s">
        <v>268</v>
      </c>
      <c r="F11" s="3" t="s">
        <v>249</v>
      </c>
      <c r="G11" s="5" t="s">
        <v>269</v>
      </c>
    </row>
    <row r="12" spans="4:8" x14ac:dyDescent="0.25">
      <c r="E12" s="3" t="s">
        <v>270</v>
      </c>
      <c r="F12" s="3" t="s">
        <v>249</v>
      </c>
      <c r="G12" s="5" t="s">
        <v>271</v>
      </c>
    </row>
    <row r="13" spans="4:8" x14ac:dyDescent="0.25">
      <c r="E13" s="3" t="s">
        <v>272</v>
      </c>
      <c r="F13" s="3" t="s">
        <v>249</v>
      </c>
      <c r="G13" s="5" t="s">
        <v>273</v>
      </c>
    </row>
    <row r="14" spans="4:8" x14ac:dyDescent="0.25">
      <c r="E14" s="3" t="s">
        <v>274</v>
      </c>
      <c r="F14" s="3" t="s">
        <v>249</v>
      </c>
      <c r="G14" s="5" t="s">
        <v>275</v>
      </c>
    </row>
    <row r="15" spans="4:8" x14ac:dyDescent="0.25">
      <c r="E15" s="3" t="s">
        <v>276</v>
      </c>
      <c r="F15" s="3" t="s">
        <v>277</v>
      </c>
      <c r="G15" s="5" t="s">
        <v>347</v>
      </c>
    </row>
    <row r="16" spans="4:8" x14ac:dyDescent="0.25">
      <c r="E16" s="3" t="s">
        <v>279</v>
      </c>
      <c r="F16" s="3" t="s">
        <v>280</v>
      </c>
      <c r="G16" s="5" t="s">
        <v>281</v>
      </c>
    </row>
    <row r="17" spans="5:7" x14ac:dyDescent="0.25">
      <c r="E17" s="3" t="s">
        <v>294</v>
      </c>
      <c r="F17" s="3" t="s">
        <v>238</v>
      </c>
      <c r="G17" s="5" t="s">
        <v>348</v>
      </c>
    </row>
  </sheetData>
  <mergeCells count="4">
    <mergeCell ref="E8:F8"/>
    <mergeCell ref="E5:G5"/>
    <mergeCell ref="E6:G6"/>
    <mergeCell ref="E7:F7"/>
  </mergeCell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68384-890D-4826-8BE2-4218CB4F8B2C}">
  <sheetPr codeName="Hoja100"/>
  <dimension ref="C4:F9"/>
  <sheetViews>
    <sheetView workbookViewId="0"/>
  </sheetViews>
  <sheetFormatPr baseColWidth="10" defaultColWidth="11.42578125" defaultRowHeight="15" x14ac:dyDescent="0.25"/>
  <cols>
    <col min="4" max="4" width="18.85546875" bestFit="1" customWidth="1"/>
    <col min="5" max="5" width="18.85546875" customWidth="1"/>
    <col min="6" max="6" width="59.42578125" customWidth="1"/>
  </cols>
  <sheetData>
    <row r="4" spans="3:6" x14ac:dyDescent="0.25">
      <c r="D4" s="15" t="s">
        <v>125</v>
      </c>
      <c r="E4" s="15"/>
      <c r="F4" s="15"/>
    </row>
    <row r="5" spans="3:6" x14ac:dyDescent="0.25">
      <c r="D5" s="16" t="str">
        <f>"STORED PROCEDURE "&amp;UPPER($B$2)</f>
        <v xml:space="preserve">STORED PROCEDURE </v>
      </c>
      <c r="E5" s="18"/>
      <c r="F5" s="17"/>
    </row>
    <row r="6" spans="3:6" ht="15.75" thickBot="1" x14ac:dyDescent="0.3">
      <c r="D6" s="16" t="s">
        <v>233</v>
      </c>
      <c r="E6" s="17"/>
      <c r="F6" s="1" t="s">
        <v>234</v>
      </c>
    </row>
    <row r="7" spans="3:6" ht="15.75" thickBot="1" x14ac:dyDescent="0.3">
      <c r="C7" s="2"/>
      <c r="D7" s="19" t="str">
        <f>D4</f>
        <v>insertSex</v>
      </c>
      <c r="E7" s="20"/>
      <c r="F7" s="6" t="s">
        <v>126</v>
      </c>
    </row>
    <row r="8" spans="3:6" x14ac:dyDescent="0.25">
      <c r="C8" s="2"/>
      <c r="D8" s="1" t="s">
        <v>236</v>
      </c>
      <c r="E8" s="1" t="s">
        <v>2</v>
      </c>
      <c r="F8" s="1" t="s">
        <v>234</v>
      </c>
    </row>
    <row r="9" spans="3:6" x14ac:dyDescent="0.25">
      <c r="D9" s="3" t="s">
        <v>264</v>
      </c>
      <c r="E9" s="3" t="s">
        <v>249</v>
      </c>
      <c r="F9" s="5" t="s">
        <v>346</v>
      </c>
    </row>
  </sheetData>
  <mergeCells count="4">
    <mergeCell ref="D4:F4"/>
    <mergeCell ref="D5:F5"/>
    <mergeCell ref="D6:E6"/>
    <mergeCell ref="D7:E7"/>
  </mergeCell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A9BF-A310-45A8-A358-238EA0151A71}">
  <sheetPr codeName="Hoja99"/>
  <dimension ref="D4:G9"/>
  <sheetViews>
    <sheetView workbookViewId="0">
      <selection activeCell="D4" sqref="D4:G9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127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insertNationality</v>
      </c>
      <c r="F7" s="20"/>
      <c r="G7" s="6" t="s">
        <v>128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264</v>
      </c>
      <c r="F9" s="3" t="s">
        <v>249</v>
      </c>
      <c r="G9" s="5" t="s">
        <v>345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394E4-9FEC-4F4E-9147-B794799A6141}">
  <sheetPr codeName="Hoja98"/>
  <dimension ref="D4:G10"/>
  <sheetViews>
    <sheetView workbookViewId="0">
      <selection activeCell="G9" sqref="G9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129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insertNationalityPerson</v>
      </c>
      <c r="F7" s="20"/>
      <c r="G7" s="6" t="s">
        <v>130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342</v>
      </c>
      <c r="F9" s="3" t="s">
        <v>238</v>
      </c>
      <c r="G9" s="5" t="s">
        <v>321</v>
      </c>
    </row>
    <row r="10" spans="4:7" x14ac:dyDescent="0.25">
      <c r="E10" s="3" t="s">
        <v>343</v>
      </c>
      <c r="F10" s="3" t="s">
        <v>238</v>
      </c>
      <c r="G10" s="5" t="s">
        <v>344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3601D-4743-4E82-B6CB-87531DEBCD45}">
  <sheetPr codeName="Hoja97"/>
  <dimension ref="D4:G9"/>
  <sheetViews>
    <sheetView workbookViewId="0"/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131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insertTypeIdent</v>
      </c>
      <c r="F7" s="20"/>
      <c r="G7" s="6" t="s">
        <v>132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264</v>
      </c>
      <c r="F9" s="3" t="s">
        <v>249</v>
      </c>
      <c r="G9" s="5" t="s">
        <v>341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C943F-4F82-490C-9F4F-70E8F84FAD90}">
  <sheetPr codeName="Hoja96"/>
  <dimension ref="D4:G9"/>
  <sheetViews>
    <sheetView workbookViewId="0">
      <selection activeCell="F13" sqref="F13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133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insertCountry</v>
      </c>
      <c r="F7" s="20"/>
      <c r="G7" s="6" t="s">
        <v>134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264</v>
      </c>
      <c r="F9" s="3" t="s">
        <v>249</v>
      </c>
      <c r="G9" s="5" t="s">
        <v>340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1EDF-A442-40D3-91B5-DD6FB62E5B56}">
  <sheetPr codeName="Hoja95"/>
  <dimension ref="D4:G10"/>
  <sheetViews>
    <sheetView workbookViewId="0"/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135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30.75" thickBot="1" x14ac:dyDescent="0.3">
      <c r="D7" s="2"/>
      <c r="E7" s="19" t="str">
        <f>E4</f>
        <v>insertCity</v>
      </c>
      <c r="F7" s="20"/>
      <c r="G7" s="6" t="s">
        <v>136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264</v>
      </c>
      <c r="F9" s="3" t="s">
        <v>249</v>
      </c>
      <c r="G9" s="5" t="s">
        <v>339</v>
      </c>
    </row>
    <row r="10" spans="4:7" x14ac:dyDescent="0.25">
      <c r="E10" s="3" t="s">
        <v>314</v>
      </c>
      <c r="F10" s="3" t="s">
        <v>238</v>
      </c>
      <c r="G10" s="5" t="s">
        <v>321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9428F-5A75-434D-BF2B-59D98E181392}">
  <sheetPr codeName="Hoja94"/>
  <dimension ref="D4:G9"/>
  <sheetViews>
    <sheetView workbookViewId="0">
      <selection activeCell="G18" sqref="G18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137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insertTypeParticipant</v>
      </c>
      <c r="F7" s="20"/>
      <c r="G7" s="6" t="s">
        <v>138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337</v>
      </c>
      <c r="F9" s="3" t="s">
        <v>249</v>
      </c>
      <c r="G9" s="5" t="s">
        <v>338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2F29-0761-4D4C-802D-04D4BDB9CCA4}">
  <sheetPr codeName="Hoja93"/>
  <dimension ref="D4:G9"/>
  <sheetViews>
    <sheetView workbookViewId="0">
      <selection activeCell="G11" sqref="G11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139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insertCatalog</v>
      </c>
      <c r="F7" s="20"/>
      <c r="G7" s="6" t="s">
        <v>140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335</v>
      </c>
      <c r="F9" s="3" t="s">
        <v>249</v>
      </c>
      <c r="G9" s="5" t="s">
        <v>336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CB48E-2E46-44BD-89DD-090CDDBE86BE}">
  <sheetPr codeName="Hoja92"/>
  <dimension ref="D4:G9"/>
  <sheetViews>
    <sheetView workbookViewId="0">
      <selection activeCell="H18" sqref="H18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141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insertTypeProduct</v>
      </c>
      <c r="F7" s="20"/>
      <c r="G7" s="6" t="s">
        <v>142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264</v>
      </c>
      <c r="F9" s="3" t="s">
        <v>249</v>
      </c>
      <c r="G9" s="5" t="s">
        <v>334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73D-986F-4AC4-8651-9ABD773FBDFE}">
  <sheetPr codeName="Hoja91"/>
  <dimension ref="D4:G9"/>
  <sheetViews>
    <sheetView workbookViewId="0">
      <selection activeCell="G14" sqref="G14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143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insertPlatform</v>
      </c>
      <c r="F7" s="20"/>
      <c r="G7" s="6" t="s">
        <v>144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264</v>
      </c>
      <c r="F9" s="3" t="s">
        <v>249</v>
      </c>
      <c r="G9" s="5" t="s">
        <v>333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BD90D-B7EC-4192-920C-C054807D493D}">
  <sheetPr codeName="Hoja90"/>
  <dimension ref="D4:G10"/>
  <sheetViews>
    <sheetView workbookViewId="0">
      <selection activeCell="G13" sqref="G13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145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30.75" thickBot="1" x14ac:dyDescent="0.3">
      <c r="D7" s="2"/>
      <c r="E7" s="19" t="str">
        <f>E4</f>
        <v>getSystemUserInfo</v>
      </c>
      <c r="F7" s="20"/>
      <c r="G7" s="6" t="s">
        <v>146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282</v>
      </c>
      <c r="F9" s="3" t="s">
        <v>249</v>
      </c>
      <c r="G9" s="5" t="s">
        <v>330</v>
      </c>
    </row>
    <row r="10" spans="4:7" x14ac:dyDescent="0.25">
      <c r="E10" s="3" t="s">
        <v>290</v>
      </c>
      <c r="F10" s="3" t="s">
        <v>249</v>
      </c>
      <c r="G10" s="5" t="s">
        <v>332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E92CD-84F3-41DC-B732-C8AC4096F96A}">
  <sheetPr codeName="Hoja89"/>
  <dimension ref="D4:G10"/>
  <sheetViews>
    <sheetView workbookViewId="0">
      <selection activeCell="J9" sqref="J9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147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validateRegister</v>
      </c>
      <c r="F7" s="20"/>
      <c r="G7" s="6" t="s">
        <v>148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282</v>
      </c>
      <c r="F9" s="3" t="s">
        <v>249</v>
      </c>
      <c r="G9" s="5" t="s">
        <v>330</v>
      </c>
    </row>
    <row r="10" spans="4:7" x14ac:dyDescent="0.25">
      <c r="E10" s="3" t="s">
        <v>288</v>
      </c>
      <c r="F10" s="3" t="s">
        <v>249</v>
      </c>
      <c r="G10" s="5" t="s">
        <v>331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7914-C9E5-450A-90A0-4625318101EA}">
  <sheetPr codeName="Hoja88"/>
  <dimension ref="D4:G9"/>
  <sheetViews>
    <sheetView workbookViewId="0">
      <selection activeCell="G13" sqref="G13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149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getNationality</v>
      </c>
      <c r="F7" s="20"/>
      <c r="G7" s="6" t="s">
        <v>150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97F-2F66-4723-B7D3-8CE4D0727C9C}">
  <sheetPr codeName="Hoja87"/>
  <dimension ref="D4:G12"/>
  <sheetViews>
    <sheetView workbookViewId="0">
      <selection activeCell="G9" sqref="G9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151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insertBinnacle</v>
      </c>
      <c r="F7" s="20"/>
      <c r="G7" s="6" t="s">
        <v>152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237</v>
      </c>
      <c r="F9" s="3" t="s">
        <v>238</v>
      </c>
      <c r="G9" s="5" t="s">
        <v>239</v>
      </c>
    </row>
    <row r="10" spans="4:7" x14ac:dyDescent="0.25">
      <c r="E10" s="3" t="s">
        <v>324</v>
      </c>
      <c r="F10" s="3" t="s">
        <v>238</v>
      </c>
      <c r="G10" s="5" t="s">
        <v>325</v>
      </c>
    </row>
    <row r="11" spans="4:7" x14ac:dyDescent="0.25">
      <c r="E11" s="3" t="s">
        <v>326</v>
      </c>
      <c r="F11" s="3" t="s">
        <v>238</v>
      </c>
      <c r="G11" s="5" t="s">
        <v>327</v>
      </c>
    </row>
    <row r="12" spans="4:7" x14ac:dyDescent="0.25">
      <c r="E12" s="3" t="s">
        <v>328</v>
      </c>
      <c r="F12" s="3" t="s">
        <v>277</v>
      </c>
      <c r="G12" s="5" t="s">
        <v>329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90DD-C3F5-4619-85F6-8B1A14548564}">
  <sheetPr codeName="Hoja86"/>
  <dimension ref="D4:G9"/>
  <sheetViews>
    <sheetView workbookViewId="0"/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153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getInfoInsertParticipant</v>
      </c>
      <c r="F7" s="20"/>
      <c r="G7" s="6" t="s">
        <v>154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94B2-FA56-40C8-A571-0E0C14895BC7}">
  <sheetPr codeName="Hoja85"/>
  <dimension ref="D4:G9"/>
  <sheetViews>
    <sheetView workbookViewId="0">
      <selection activeCell="E5" sqref="E5:G5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155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getCountries</v>
      </c>
      <c r="F7" s="20"/>
      <c r="G7" s="6" t="s">
        <v>156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932D9-6BB2-4343-9E5A-75AC5269AF3C}">
  <sheetPr codeName="Hoja84"/>
  <dimension ref="D4:G9"/>
  <sheetViews>
    <sheetView workbookViewId="0">
      <selection activeCell="G18" sqref="G18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157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getCities</v>
      </c>
      <c r="F7" s="20"/>
      <c r="G7" s="6" t="s">
        <v>158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C181A-B3D0-4DF7-B52D-D6F09074A32D}">
  <sheetPr codeName="Hoja83"/>
  <dimension ref="D4:G9"/>
  <sheetViews>
    <sheetView workbookViewId="0">
      <selection activeCell="D34" sqref="D34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159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getTypesIdents</v>
      </c>
      <c r="F7" s="20"/>
      <c r="G7" s="6" t="s">
        <v>160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10597-5C4E-4249-9E75-534D0E090088}">
  <sheetPr codeName="Hoja82"/>
  <dimension ref="D4:G9"/>
  <sheetViews>
    <sheetView workbookViewId="0">
      <selection activeCell="G7" sqref="G7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161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getCatalogs</v>
      </c>
      <c r="F7" s="20"/>
      <c r="G7" s="6" t="s">
        <v>162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9B15-225F-4BC9-948D-C1FFCB31F235}">
  <sheetPr codeName="Hoja81"/>
  <dimension ref="D4:G9"/>
  <sheetViews>
    <sheetView workbookViewId="0">
      <selection activeCell="E5" sqref="E5:G5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163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getTypesProducts</v>
      </c>
      <c r="F7" s="20"/>
      <c r="G7" s="6" t="s">
        <v>164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98402-C0DC-4FFF-B1D1-8E20091B4941}">
  <sheetPr codeName="Hoja80"/>
  <dimension ref="D4:G9"/>
  <sheetViews>
    <sheetView workbookViewId="0">
      <selection activeCell="G14" sqref="G14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323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getTypesParticipants</v>
      </c>
      <c r="F7" s="20"/>
      <c r="G7" s="6" t="s">
        <v>166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1555D-5543-4BC2-BA3E-07428CF3A030}">
  <sheetPr codeName="Hoja79"/>
  <dimension ref="D4:G9"/>
  <sheetViews>
    <sheetView workbookViewId="0">
      <selection activeCell="G13" sqref="G13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167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getPlatforms</v>
      </c>
      <c r="F7" s="20"/>
      <c r="G7" s="6" t="s">
        <v>168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58EA7-E3FE-4A03-965B-CE95E4F0B86D}">
  <sheetPr codeName="Hoja78"/>
  <dimension ref="D4:G9"/>
  <sheetViews>
    <sheetView workbookViewId="0">
      <selection activeCell="G17" sqref="G17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169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getSexs</v>
      </c>
      <c r="F7" s="20"/>
      <c r="G7" s="6" t="s">
        <v>170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/>
      <c r="F9" s="3"/>
      <c r="G9" s="5"/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EE3DE-53A8-49FD-AD1E-33B373E22D24}">
  <sheetPr codeName="Hoja77"/>
  <dimension ref="D4:G10"/>
  <sheetViews>
    <sheetView workbookViewId="0">
      <selection activeCell="I21" sqref="I21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320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setNationality</v>
      </c>
      <c r="F7" s="20"/>
      <c r="G7" s="6" t="s">
        <v>172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321</v>
      </c>
    </row>
    <row r="10" spans="4:7" x14ac:dyDescent="0.25">
      <c r="E10" s="3" t="s">
        <v>264</v>
      </c>
      <c r="F10" s="3" t="s">
        <v>249</v>
      </c>
      <c r="G10" s="5" t="s">
        <v>322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4500D-8B6D-4C7A-9AF8-DECFC07E421F}">
  <sheetPr codeName="Hoja76"/>
  <dimension ref="D4:G10"/>
  <sheetViews>
    <sheetView workbookViewId="0"/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317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setCountry</v>
      </c>
      <c r="F7" s="20"/>
      <c r="G7" s="6" t="s">
        <v>174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318</v>
      </c>
    </row>
    <row r="10" spans="4:7" x14ac:dyDescent="0.25">
      <c r="E10" s="3" t="s">
        <v>264</v>
      </c>
      <c r="F10" s="3" t="s">
        <v>249</v>
      </c>
      <c r="G10" s="5" t="s">
        <v>319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973B-6D53-4AD3-9556-B1FE742C2989}">
  <sheetPr codeName="Hoja75"/>
  <dimension ref="D4:G11"/>
  <sheetViews>
    <sheetView topLeftCell="D1" workbookViewId="0">
      <selection activeCell="I12" sqref="I12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311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setCity</v>
      </c>
      <c r="F7" s="20"/>
      <c r="G7" s="6" t="s">
        <v>312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313</v>
      </c>
    </row>
    <row r="10" spans="4:7" x14ac:dyDescent="0.25">
      <c r="E10" s="3" t="s">
        <v>314</v>
      </c>
      <c r="F10" s="3" t="s">
        <v>238</v>
      </c>
      <c r="G10" s="5" t="s">
        <v>315</v>
      </c>
    </row>
    <row r="11" spans="4:7" x14ac:dyDescent="0.25">
      <c r="E11" s="3" t="s">
        <v>264</v>
      </c>
      <c r="F11" s="3" t="s">
        <v>249</v>
      </c>
      <c r="G11" s="5" t="s">
        <v>316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A2090-838B-4744-ABA6-3C0952B4D177}">
  <sheetPr codeName="Hoja74"/>
  <dimension ref="D4:G10"/>
  <sheetViews>
    <sheetView topLeftCell="D1" workbookViewId="0">
      <selection activeCell="G7" sqref="G7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308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setTypeIdent</v>
      </c>
      <c r="F7" s="20"/>
      <c r="G7" s="6" t="s">
        <v>178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309</v>
      </c>
    </row>
    <row r="10" spans="4:7" x14ac:dyDescent="0.25">
      <c r="E10" s="3" t="s">
        <v>264</v>
      </c>
      <c r="F10" s="3" t="s">
        <v>249</v>
      </c>
      <c r="G10" s="5" t="s">
        <v>310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A4D8-22CC-477F-B892-6492B148A146}">
  <sheetPr codeName="Hoja73"/>
  <dimension ref="D4:G10"/>
  <sheetViews>
    <sheetView topLeftCell="D1" workbookViewId="0">
      <selection activeCell="G7" sqref="G7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305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setTypeProduct</v>
      </c>
      <c r="F7" s="20"/>
      <c r="G7" s="6" t="s">
        <v>182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306</v>
      </c>
    </row>
    <row r="10" spans="4:7" x14ac:dyDescent="0.25">
      <c r="E10" s="3" t="s">
        <v>264</v>
      </c>
      <c r="F10" s="3" t="s">
        <v>249</v>
      </c>
      <c r="G10" s="5" t="s">
        <v>307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E3317-7C4E-4474-94CA-2FD0EDE50BFE}">
  <sheetPr codeName="Hoja72"/>
  <dimension ref="D4:G10"/>
  <sheetViews>
    <sheetView topLeftCell="D1" workbookViewId="0">
      <selection activeCell="H12" sqref="H12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302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setTypeParticipant</v>
      </c>
      <c r="F7" s="20"/>
      <c r="G7" s="6" t="s">
        <v>182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303</v>
      </c>
    </row>
    <row r="10" spans="4:7" x14ac:dyDescent="0.25">
      <c r="E10" s="3" t="s">
        <v>264</v>
      </c>
      <c r="F10" s="3" t="s">
        <v>249</v>
      </c>
      <c r="G10" s="5" t="s">
        <v>304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8C887-63EA-4452-9C04-A9F76FA295CF}">
  <sheetPr codeName="Hoja71"/>
  <dimension ref="D4:G10"/>
  <sheetViews>
    <sheetView workbookViewId="0">
      <selection activeCell="A2" sqref="A2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299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setPlatform</v>
      </c>
      <c r="F7" s="20"/>
      <c r="G7" s="6" t="s">
        <v>186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300</v>
      </c>
    </row>
    <row r="10" spans="4:7" x14ac:dyDescent="0.25">
      <c r="E10" s="3" t="s">
        <v>264</v>
      </c>
      <c r="F10" s="3" t="s">
        <v>249</v>
      </c>
      <c r="G10" s="5" t="s">
        <v>301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6D087-E5EC-49B1-8C41-5BA2699C7CFA}">
  <sheetPr codeName="Hoja70"/>
  <dimension ref="D4:G10"/>
  <sheetViews>
    <sheetView topLeftCell="D1" workbookViewId="0">
      <selection activeCell="G7" sqref="G7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296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setSex</v>
      </c>
      <c r="F7" s="20"/>
      <c r="G7" s="6" t="s">
        <v>188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297</v>
      </c>
    </row>
    <row r="10" spans="4:7" x14ac:dyDescent="0.25">
      <c r="E10" s="3" t="s">
        <v>264</v>
      </c>
      <c r="F10" s="3" t="s">
        <v>249</v>
      </c>
      <c r="G10" s="5" t="s">
        <v>298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F5775-C5F4-4DC4-B268-46662EE169C7}">
  <sheetPr codeName="Hoja69"/>
  <dimension ref="A2:D20"/>
  <sheetViews>
    <sheetView workbookViewId="0"/>
  </sheetViews>
  <sheetFormatPr baseColWidth="10" defaultColWidth="11.42578125" defaultRowHeight="15" x14ac:dyDescent="0.25"/>
  <cols>
    <col min="2" max="2" width="18.85546875" bestFit="1" customWidth="1"/>
    <col min="3" max="3" width="18.85546875" customWidth="1"/>
    <col min="4" max="4" width="59.42578125" customWidth="1"/>
    <col min="5" max="5" width="18.85546875" bestFit="1" customWidth="1"/>
    <col min="6" max="6" width="18.85546875" customWidth="1"/>
    <col min="7" max="7" width="59.42578125" customWidth="1"/>
  </cols>
  <sheetData>
    <row r="2" spans="1:4" x14ac:dyDescent="0.25">
      <c r="B2" s="15" t="s">
        <v>189</v>
      </c>
      <c r="C2" s="15"/>
      <c r="D2" s="15"/>
    </row>
    <row r="3" spans="1:4" x14ac:dyDescent="0.25">
      <c r="B3" s="16" t="str">
        <f>"STORED PROCEDURE "&amp;UPPER($B$2)</f>
        <v>STORED PROCEDURE INSERTADMINISTRATOR</v>
      </c>
      <c r="C3" s="18"/>
      <c r="D3" s="17"/>
    </row>
    <row r="4" spans="1:4" x14ac:dyDescent="0.25">
      <c r="B4" s="16" t="s">
        <v>233</v>
      </c>
      <c r="C4" s="17"/>
      <c r="D4" s="1" t="s">
        <v>234</v>
      </c>
    </row>
    <row r="5" spans="1:4" ht="45" x14ac:dyDescent="0.25">
      <c r="A5" s="2"/>
      <c r="B5" s="19" t="str">
        <f>B2</f>
        <v>insertAdministrator</v>
      </c>
      <c r="C5" s="20"/>
      <c r="D5" s="5" t="s">
        <v>190</v>
      </c>
    </row>
    <row r="6" spans="1:4" x14ac:dyDescent="0.25">
      <c r="A6" s="2"/>
      <c r="B6" s="1" t="s">
        <v>236</v>
      </c>
      <c r="C6" s="1" t="s">
        <v>2</v>
      </c>
      <c r="D6" s="1" t="s">
        <v>234</v>
      </c>
    </row>
    <row r="7" spans="1:4" x14ac:dyDescent="0.25">
      <c r="B7" s="3" t="s">
        <v>266</v>
      </c>
      <c r="C7" s="3" t="s">
        <v>238</v>
      </c>
      <c r="D7" s="5" t="s">
        <v>267</v>
      </c>
    </row>
    <row r="8" spans="1:4" x14ac:dyDescent="0.25">
      <c r="B8" s="3" t="s">
        <v>268</v>
      </c>
      <c r="C8" s="3" t="s">
        <v>249</v>
      </c>
      <c r="D8" s="5" t="s">
        <v>269</v>
      </c>
    </row>
    <row r="9" spans="1:4" x14ac:dyDescent="0.25">
      <c r="B9" s="3" t="s">
        <v>270</v>
      </c>
      <c r="C9" s="3" t="s">
        <v>249</v>
      </c>
      <c r="D9" s="5" t="s">
        <v>271</v>
      </c>
    </row>
    <row r="10" spans="1:4" x14ac:dyDescent="0.25">
      <c r="B10" s="3" t="s">
        <v>272</v>
      </c>
      <c r="C10" s="3" t="s">
        <v>249</v>
      </c>
      <c r="D10" s="5" t="s">
        <v>273</v>
      </c>
    </row>
    <row r="11" spans="1:4" x14ac:dyDescent="0.25">
      <c r="B11" s="3" t="s">
        <v>274</v>
      </c>
      <c r="C11" s="3" t="s">
        <v>249</v>
      </c>
      <c r="D11" s="5" t="s">
        <v>275</v>
      </c>
    </row>
    <row r="12" spans="1:4" x14ac:dyDescent="0.25">
      <c r="B12" s="3" t="s">
        <v>276</v>
      </c>
      <c r="C12" s="3" t="s">
        <v>277</v>
      </c>
      <c r="D12" s="5" t="s">
        <v>278</v>
      </c>
    </row>
    <row r="13" spans="1:4" x14ac:dyDescent="0.25">
      <c r="B13" s="3" t="s">
        <v>279</v>
      </c>
      <c r="C13" s="3" t="s">
        <v>280</v>
      </c>
      <c r="D13" s="5" t="s">
        <v>281</v>
      </c>
    </row>
    <row r="14" spans="1:4" x14ac:dyDescent="0.25">
      <c r="B14" s="3" t="s">
        <v>282</v>
      </c>
      <c r="C14" s="3" t="s">
        <v>249</v>
      </c>
      <c r="D14" s="5" t="s">
        <v>283</v>
      </c>
    </row>
    <row r="15" spans="1:4" x14ac:dyDescent="0.25">
      <c r="B15" s="3" t="s">
        <v>284</v>
      </c>
      <c r="C15" s="3" t="s">
        <v>238</v>
      </c>
      <c r="D15" s="5" t="s">
        <v>285</v>
      </c>
    </row>
    <row r="16" spans="1:4" x14ac:dyDescent="0.25">
      <c r="B16" s="3" t="s">
        <v>286</v>
      </c>
      <c r="C16" s="3" t="s">
        <v>238</v>
      </c>
      <c r="D16" s="5" t="s">
        <v>287</v>
      </c>
    </row>
    <row r="17" spans="2:4" x14ac:dyDescent="0.25">
      <c r="B17" s="3" t="s">
        <v>288</v>
      </c>
      <c r="C17" s="3" t="s">
        <v>249</v>
      </c>
      <c r="D17" s="5" t="s">
        <v>289</v>
      </c>
    </row>
    <row r="18" spans="2:4" x14ac:dyDescent="0.25">
      <c r="B18" s="3" t="s">
        <v>290</v>
      </c>
      <c r="C18" s="3" t="s">
        <v>249</v>
      </c>
      <c r="D18" s="5" t="s">
        <v>291</v>
      </c>
    </row>
    <row r="19" spans="2:4" x14ac:dyDescent="0.25">
      <c r="B19" s="3" t="s">
        <v>292</v>
      </c>
      <c r="C19" s="3" t="s">
        <v>238</v>
      </c>
      <c r="D19" s="5" t="s">
        <v>293</v>
      </c>
    </row>
    <row r="20" spans="2:4" x14ac:dyDescent="0.25">
      <c r="B20" s="3" t="s">
        <v>294</v>
      </c>
      <c r="C20" s="3" t="s">
        <v>238</v>
      </c>
      <c r="D20" s="5" t="s">
        <v>295</v>
      </c>
    </row>
  </sheetData>
  <mergeCells count="4">
    <mergeCell ref="B2:D2"/>
    <mergeCell ref="B3:D3"/>
    <mergeCell ref="B4:C4"/>
    <mergeCell ref="B5:C5"/>
  </mergeCells>
  <pageMargins left="0.7" right="0.7" top="0.75" bottom="0.75" header="0.3" footer="0.3"/>
  <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33480-CE7C-4D9A-B52C-2110D8DF5057}">
  <sheetPr codeName="Hoja68"/>
  <dimension ref="D4:G10"/>
  <sheetViews>
    <sheetView topLeftCell="B1" workbookViewId="0">
      <selection activeCell="D4" sqref="D4:H11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261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setCatalog</v>
      </c>
      <c r="F7" s="21"/>
      <c r="G7" s="6" t="s">
        <v>188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x14ac:dyDescent="0.25">
      <c r="E9" s="3" t="s">
        <v>262</v>
      </c>
      <c r="F9" s="3" t="s">
        <v>238</v>
      </c>
      <c r="G9" s="5" t="s">
        <v>263</v>
      </c>
    </row>
    <row r="10" spans="4:7" x14ac:dyDescent="0.25">
      <c r="E10" s="3" t="s">
        <v>264</v>
      </c>
      <c r="F10" s="3" t="s">
        <v>249</v>
      </c>
      <c r="G10" s="5" t="s">
        <v>265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745CB-517B-4390-B5D1-431D2F40A42E}">
  <sheetPr codeName="Hoja67"/>
  <dimension ref="D4:G16"/>
  <sheetViews>
    <sheetView topLeftCell="C1" workbookViewId="0">
      <selection activeCell="G25" sqref="G25"/>
    </sheetView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191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insertProduct</v>
      </c>
      <c r="F7" s="20"/>
      <c r="G7" s="6" t="s">
        <v>259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ht="34.5" customHeight="1" x14ac:dyDescent="0.25">
      <c r="E9" s="3" t="s">
        <v>244</v>
      </c>
      <c r="F9" s="3" t="s">
        <v>238</v>
      </c>
      <c r="G9" s="5" t="s">
        <v>245</v>
      </c>
    </row>
    <row r="10" spans="4:7" x14ac:dyDescent="0.25">
      <c r="E10" s="3" t="s">
        <v>246</v>
      </c>
      <c r="F10" s="3" t="s">
        <v>238</v>
      </c>
      <c r="G10" s="5" t="s">
        <v>247</v>
      </c>
    </row>
    <row r="11" spans="4:7" x14ac:dyDescent="0.25">
      <c r="E11" s="3" t="s">
        <v>248</v>
      </c>
      <c r="F11" s="3" t="s">
        <v>249</v>
      </c>
      <c r="G11" s="5" t="s">
        <v>250</v>
      </c>
    </row>
    <row r="12" spans="4:7" x14ac:dyDescent="0.25">
      <c r="E12" s="3" t="s">
        <v>251</v>
      </c>
      <c r="F12" s="3" t="s">
        <v>238</v>
      </c>
      <c r="G12" s="5" t="s">
        <v>252</v>
      </c>
    </row>
    <row r="13" spans="4:7" x14ac:dyDescent="0.25">
      <c r="E13" s="3" t="s">
        <v>253</v>
      </c>
      <c r="F13" s="3" t="s">
        <v>249</v>
      </c>
      <c r="G13" s="5" t="s">
        <v>254</v>
      </c>
    </row>
    <row r="14" spans="4:7" x14ac:dyDescent="0.25">
      <c r="E14" s="3" t="s">
        <v>255</v>
      </c>
      <c r="F14" s="3" t="s">
        <v>249</v>
      </c>
      <c r="G14" s="5" t="s">
        <v>256</v>
      </c>
    </row>
    <row r="15" spans="4:7" x14ac:dyDescent="0.25">
      <c r="E15" s="3" t="s">
        <v>257</v>
      </c>
      <c r="F15" s="3" t="s">
        <v>238</v>
      </c>
      <c r="G15" s="5" t="s">
        <v>258</v>
      </c>
    </row>
    <row r="16" spans="4:7" x14ac:dyDescent="0.25">
      <c r="E16" s="3" t="s">
        <v>237</v>
      </c>
      <c r="F16" s="3" t="s">
        <v>238</v>
      </c>
      <c r="G16" s="5" t="s">
        <v>260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45B1-2568-4A66-87A9-FEC70BE01421}">
  <sheetPr codeName="Hoja66"/>
  <dimension ref="D4:G16"/>
  <sheetViews>
    <sheetView workbookViewId="0"/>
  </sheetViews>
  <sheetFormatPr baseColWidth="10" defaultColWidth="11.42578125" defaultRowHeight="15" x14ac:dyDescent="0.25"/>
  <cols>
    <col min="5" max="5" width="18.85546875" bestFit="1" customWidth="1"/>
    <col min="6" max="6" width="18.85546875" customWidth="1"/>
    <col min="7" max="7" width="59.42578125" customWidth="1"/>
  </cols>
  <sheetData>
    <row r="4" spans="4:7" x14ac:dyDescent="0.25">
      <c r="E4" s="15" t="s">
        <v>193</v>
      </c>
      <c r="F4" s="15"/>
      <c r="G4" s="15"/>
    </row>
    <row r="5" spans="4:7" x14ac:dyDescent="0.25">
      <c r="E5" s="16" t="str">
        <f>"STORED PROCEDURE "&amp;UPPER($B$2)</f>
        <v xml:space="preserve">STORED PROCEDURE </v>
      </c>
      <c r="F5" s="18"/>
      <c r="G5" s="17"/>
    </row>
    <row r="6" spans="4:7" ht="15.75" thickBot="1" x14ac:dyDescent="0.3">
      <c r="E6" s="16" t="s">
        <v>233</v>
      </c>
      <c r="F6" s="17"/>
      <c r="G6" s="1" t="s">
        <v>234</v>
      </c>
    </row>
    <row r="7" spans="4:7" ht="15.75" thickBot="1" x14ac:dyDescent="0.3">
      <c r="D7" s="2"/>
      <c r="E7" s="19" t="str">
        <f>E4</f>
        <v>updateProduct</v>
      </c>
      <c r="F7" s="20"/>
      <c r="G7" s="6" t="s">
        <v>194</v>
      </c>
    </row>
    <row r="8" spans="4:7" x14ac:dyDescent="0.25">
      <c r="D8" s="2"/>
      <c r="E8" s="1" t="s">
        <v>236</v>
      </c>
      <c r="F8" s="1" t="s">
        <v>2</v>
      </c>
      <c r="G8" s="1" t="s">
        <v>234</v>
      </c>
    </row>
    <row r="9" spans="4:7" ht="30" x14ac:dyDescent="0.25">
      <c r="E9" s="3" t="s">
        <v>244</v>
      </c>
      <c r="F9" s="3" t="s">
        <v>238</v>
      </c>
      <c r="G9" s="5" t="s">
        <v>245</v>
      </c>
    </row>
    <row r="10" spans="4:7" x14ac:dyDescent="0.25">
      <c r="E10" s="3" t="s">
        <v>246</v>
      </c>
      <c r="F10" s="3" t="s">
        <v>238</v>
      </c>
      <c r="G10" s="5" t="s">
        <v>247</v>
      </c>
    </row>
    <row r="11" spans="4:7" x14ac:dyDescent="0.25">
      <c r="E11" s="3" t="s">
        <v>248</v>
      </c>
      <c r="F11" s="3" t="s">
        <v>249</v>
      </c>
      <c r="G11" s="5" t="s">
        <v>250</v>
      </c>
    </row>
    <row r="12" spans="4:7" x14ac:dyDescent="0.25">
      <c r="E12" s="3" t="s">
        <v>251</v>
      </c>
      <c r="F12" s="3" t="s">
        <v>238</v>
      </c>
      <c r="G12" s="5" t="s">
        <v>252</v>
      </c>
    </row>
    <row r="13" spans="4:7" x14ac:dyDescent="0.25">
      <c r="E13" s="3" t="s">
        <v>253</v>
      </c>
      <c r="F13" s="3" t="s">
        <v>249</v>
      </c>
      <c r="G13" s="5" t="s">
        <v>254</v>
      </c>
    </row>
    <row r="14" spans="4:7" x14ac:dyDescent="0.25">
      <c r="E14" s="3" t="s">
        <v>255</v>
      </c>
      <c r="F14" s="3" t="s">
        <v>249</v>
      </c>
      <c r="G14" s="5" t="s">
        <v>256</v>
      </c>
    </row>
    <row r="15" spans="4:7" x14ac:dyDescent="0.25">
      <c r="E15" s="3" t="s">
        <v>257</v>
      </c>
      <c r="F15" s="3" t="s">
        <v>238</v>
      </c>
      <c r="G15" s="5" t="s">
        <v>258</v>
      </c>
    </row>
    <row r="16" spans="4:7" x14ac:dyDescent="0.25">
      <c r="E16" s="3" t="s">
        <v>237</v>
      </c>
      <c r="F16" s="3" t="s">
        <v>238</v>
      </c>
      <c r="G16" s="5" t="s">
        <v>239</v>
      </c>
    </row>
  </sheetData>
  <mergeCells count="4">
    <mergeCell ref="E4:G4"/>
    <mergeCell ref="E5:G5"/>
    <mergeCell ref="E6:F6"/>
    <mergeCell ref="E7:F7"/>
  </mergeCells>
  <pageMargins left="0.7" right="0.7" top="0.75" bottom="0.75" header="0.3" footer="0.3"/>
  <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5C84-4AD2-4A60-932D-4E53FCE8DDF5}">
  <sheetPr codeName="Hoja65"/>
  <dimension ref="B5:E15"/>
  <sheetViews>
    <sheetView workbookViewId="0">
      <selection activeCell="B12" sqref="B12"/>
    </sheetView>
  </sheetViews>
  <sheetFormatPr baseColWidth="10" defaultColWidth="11.42578125" defaultRowHeight="15" x14ac:dyDescent="0.25"/>
  <cols>
    <col min="5" max="5" width="27.28515625" customWidth="1"/>
  </cols>
  <sheetData>
    <row r="5" spans="2:5" x14ac:dyDescent="0.25">
      <c r="C5" s="15" t="s">
        <v>196</v>
      </c>
      <c r="D5" s="15"/>
      <c r="E5" s="15"/>
    </row>
    <row r="6" spans="2:5" x14ac:dyDescent="0.25">
      <c r="C6" s="16" t="str">
        <f>"STORED PROCEDURE "&amp;UPPER($B$2)</f>
        <v xml:space="preserve">STORED PROCEDURE </v>
      </c>
      <c r="D6" s="18"/>
      <c r="E6" s="17"/>
    </row>
    <row r="7" spans="2:5" ht="15.75" thickBot="1" x14ac:dyDescent="0.3">
      <c r="C7" s="16" t="s">
        <v>233</v>
      </c>
      <c r="D7" s="17"/>
      <c r="E7" s="1" t="s">
        <v>234</v>
      </c>
    </row>
    <row r="8" spans="2:5" ht="15.75" thickBot="1" x14ac:dyDescent="0.3">
      <c r="B8" s="2"/>
      <c r="C8" s="19" t="str">
        <f>C5</f>
        <v>addParticipant</v>
      </c>
      <c r="D8" s="20"/>
      <c r="E8" s="6" t="s">
        <v>235</v>
      </c>
    </row>
    <row r="9" spans="2:5" x14ac:dyDescent="0.25">
      <c r="B9" s="2"/>
      <c r="C9" s="1" t="s">
        <v>236</v>
      </c>
      <c r="D9" s="1" t="s">
        <v>2</v>
      </c>
      <c r="E9" s="1" t="s">
        <v>234</v>
      </c>
    </row>
    <row r="10" spans="2:5" ht="21.6" customHeight="1" x14ac:dyDescent="0.25">
      <c r="C10" s="3" t="s">
        <v>237</v>
      </c>
      <c r="D10" s="3" t="s">
        <v>238</v>
      </c>
      <c r="E10" s="5" t="s">
        <v>239</v>
      </c>
    </row>
    <row r="11" spans="2:5" ht="21.6" customHeight="1" x14ac:dyDescent="0.25">
      <c r="C11" s="3" t="s">
        <v>240</v>
      </c>
      <c r="D11" s="3" t="s">
        <v>238</v>
      </c>
      <c r="E11" s="5" t="s">
        <v>241</v>
      </c>
    </row>
    <row r="12" spans="2:5" ht="22.5" customHeight="1" x14ac:dyDescent="0.25">
      <c r="C12" s="3" t="s">
        <v>242</v>
      </c>
      <c r="D12" s="3" t="s">
        <v>238</v>
      </c>
      <c r="E12" s="5" t="s">
        <v>243</v>
      </c>
    </row>
    <row r="14" spans="2:5" x14ac:dyDescent="0.25">
      <c r="D14" s="2"/>
    </row>
    <row r="15" spans="2:5" x14ac:dyDescent="0.25">
      <c r="D15" s="2"/>
    </row>
  </sheetData>
  <mergeCells count="4">
    <mergeCell ref="C5:E5"/>
    <mergeCell ref="C7:D7"/>
    <mergeCell ref="C6:E6"/>
    <mergeCell ref="C8:D8"/>
  </mergeCell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B8C82-A69E-43E8-9B16-01481861F137}">
  <dimension ref="C6:F11"/>
  <sheetViews>
    <sheetView workbookViewId="0">
      <selection activeCell="B4" sqref="B4"/>
    </sheetView>
  </sheetViews>
  <sheetFormatPr baseColWidth="10" defaultColWidth="11.42578125" defaultRowHeight="15" x14ac:dyDescent="0.25"/>
  <cols>
    <col min="6" max="6" width="44.42578125" customWidth="1"/>
  </cols>
  <sheetData>
    <row r="6" spans="3:6" x14ac:dyDescent="0.25">
      <c r="D6" s="15" t="s">
        <v>201</v>
      </c>
      <c r="E6" s="15"/>
      <c r="F6" s="15"/>
    </row>
    <row r="7" spans="3:6" x14ac:dyDescent="0.25">
      <c r="D7" s="16" t="str">
        <f>"STORED PROCEDURE "&amp;UPPER($B$2)</f>
        <v xml:space="preserve">STORED PROCEDURE </v>
      </c>
      <c r="E7" s="18"/>
      <c r="F7" s="17"/>
    </row>
    <row r="8" spans="3:6" ht="15.75" thickBot="1" x14ac:dyDescent="0.3">
      <c r="D8" s="16" t="s">
        <v>233</v>
      </c>
      <c r="E8" s="17"/>
      <c r="F8" s="1" t="s">
        <v>234</v>
      </c>
    </row>
    <row r="9" spans="3:6" ht="15.75" thickBot="1" x14ac:dyDescent="0.3">
      <c r="C9" s="2"/>
      <c r="D9" s="19" t="str">
        <f>D6</f>
        <v>removeSeason</v>
      </c>
      <c r="E9" s="21"/>
      <c r="F9" s="6" t="s">
        <v>202</v>
      </c>
    </row>
    <row r="10" spans="3:6" x14ac:dyDescent="0.25">
      <c r="C10" s="2"/>
      <c r="D10" s="1" t="s">
        <v>236</v>
      </c>
      <c r="E10" s="1" t="s">
        <v>2</v>
      </c>
      <c r="F10" s="1" t="s">
        <v>234</v>
      </c>
    </row>
    <row r="11" spans="3:6" x14ac:dyDescent="0.25">
      <c r="D11" s="3" t="s">
        <v>591</v>
      </c>
      <c r="E11" s="3" t="s">
        <v>238</v>
      </c>
      <c r="F11" s="5" t="s">
        <v>592</v>
      </c>
    </row>
  </sheetData>
  <mergeCells count="4">
    <mergeCell ref="D6:F6"/>
    <mergeCell ref="D7:F7"/>
    <mergeCell ref="D8:E8"/>
    <mergeCell ref="D9:E9"/>
  </mergeCells>
  <pageMargins left="0.7" right="0.7" top="0.75" bottom="0.75" header="0.3" footer="0.3"/>
  <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CF5BF-319A-4A71-9AA6-790CAB9A7B79}">
  <dimension ref="C8:F15"/>
  <sheetViews>
    <sheetView topLeftCell="A5" workbookViewId="0"/>
  </sheetViews>
  <sheetFormatPr baseColWidth="10" defaultColWidth="11.42578125" defaultRowHeight="15" x14ac:dyDescent="0.25"/>
  <cols>
    <col min="4" max="4" width="17.5703125" customWidth="1"/>
    <col min="5" max="5" width="21.28515625" customWidth="1"/>
    <col min="6" max="6" width="13.85546875" customWidth="1"/>
  </cols>
  <sheetData>
    <row r="8" spans="3:6" x14ac:dyDescent="0.25">
      <c r="D8" s="15" t="s">
        <v>199</v>
      </c>
      <c r="E8" s="15"/>
      <c r="F8" s="15"/>
    </row>
    <row r="9" spans="3:6" x14ac:dyDescent="0.25">
      <c r="D9" s="16" t="str">
        <f>"STORED PROCEDURE "&amp;UPPER($B$2)</f>
        <v xml:space="preserve">STORED PROCEDURE </v>
      </c>
      <c r="E9" s="18"/>
      <c r="F9" s="17"/>
    </row>
    <row r="10" spans="3:6" ht="15.75" thickBot="1" x14ac:dyDescent="0.3">
      <c r="D10" s="16" t="s">
        <v>233</v>
      </c>
      <c r="E10" s="17"/>
      <c r="F10" s="1" t="s">
        <v>234</v>
      </c>
    </row>
    <row r="11" spans="3:6" ht="30.75" thickBot="1" x14ac:dyDescent="0.3">
      <c r="C11" s="2"/>
      <c r="D11" s="19" t="str">
        <f>D8</f>
        <v>addSeason</v>
      </c>
      <c r="E11" s="21"/>
      <c r="F11" s="6" t="s">
        <v>593</v>
      </c>
    </row>
    <row r="12" spans="3:6" x14ac:dyDescent="0.25">
      <c r="C12" s="2"/>
      <c r="D12" s="1" t="s">
        <v>236</v>
      </c>
      <c r="E12" s="1" t="s">
        <v>2</v>
      </c>
      <c r="F12" s="1" t="s">
        <v>234</v>
      </c>
    </row>
    <row r="13" spans="3:6" ht="30" x14ac:dyDescent="0.25">
      <c r="D13" s="3" t="s">
        <v>237</v>
      </c>
      <c r="E13" s="3" t="s">
        <v>238</v>
      </c>
      <c r="F13" s="5" t="s">
        <v>239</v>
      </c>
    </row>
    <row r="14" spans="3:6" ht="30" x14ac:dyDescent="0.25">
      <c r="D14" s="3" t="s">
        <v>594</v>
      </c>
      <c r="E14" s="3" t="s">
        <v>238</v>
      </c>
      <c r="F14" s="5" t="s">
        <v>595</v>
      </c>
    </row>
    <row r="15" spans="3:6" ht="30" x14ac:dyDescent="0.25">
      <c r="D15" s="3" t="s">
        <v>591</v>
      </c>
      <c r="E15" s="3" t="s">
        <v>238</v>
      </c>
      <c r="F15" s="5" t="s">
        <v>596</v>
      </c>
    </row>
  </sheetData>
  <mergeCells count="4">
    <mergeCell ref="D8:F8"/>
    <mergeCell ref="D9:F9"/>
    <mergeCell ref="D10:E10"/>
    <mergeCell ref="D11:E11"/>
  </mergeCell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7E5DC-695E-42F7-A032-4F4350753FDE}">
  <dimension ref="D8:G15"/>
  <sheetViews>
    <sheetView workbookViewId="0">
      <selection activeCell="C8" sqref="C8"/>
    </sheetView>
  </sheetViews>
  <sheetFormatPr baseColWidth="10" defaultColWidth="11.42578125" defaultRowHeight="15" x14ac:dyDescent="0.25"/>
  <cols>
    <col min="5" max="5" width="20.85546875" customWidth="1"/>
    <col min="7" max="7" width="54.7109375" customWidth="1"/>
  </cols>
  <sheetData>
    <row r="8" spans="4:7" x14ac:dyDescent="0.25">
      <c r="E8" s="15" t="s">
        <v>203</v>
      </c>
      <c r="F8" s="15"/>
      <c r="G8" s="15"/>
    </row>
    <row r="9" spans="4:7" x14ac:dyDescent="0.25">
      <c r="E9" s="16" t="str">
        <f>"STORED PROCEDURE "&amp;UPPER($B$2)</f>
        <v xml:space="preserve">STORED PROCEDURE </v>
      </c>
      <c r="F9" s="18"/>
      <c r="G9" s="17"/>
    </row>
    <row r="10" spans="4:7" ht="15.75" thickBot="1" x14ac:dyDescent="0.3">
      <c r="E10" s="16" t="s">
        <v>233</v>
      </c>
      <c r="F10" s="17"/>
      <c r="G10" s="1" t="s">
        <v>234</v>
      </c>
    </row>
    <row r="11" spans="4:7" ht="15.75" thickBot="1" x14ac:dyDescent="0.3">
      <c r="D11" s="2"/>
      <c r="E11" s="19" t="str">
        <f>E8</f>
        <v>addEpisode</v>
      </c>
      <c r="F11" s="21"/>
      <c r="G11" s="6" t="s">
        <v>204</v>
      </c>
    </row>
    <row r="12" spans="4:7" x14ac:dyDescent="0.25">
      <c r="D12" s="2"/>
      <c r="E12" s="1" t="s">
        <v>236</v>
      </c>
      <c r="F12" s="1" t="s">
        <v>2</v>
      </c>
      <c r="G12" s="1" t="s">
        <v>234</v>
      </c>
    </row>
    <row r="13" spans="4:7" x14ac:dyDescent="0.25">
      <c r="E13" s="3" t="s">
        <v>591</v>
      </c>
      <c r="F13" s="3" t="s">
        <v>238</v>
      </c>
      <c r="G13" s="5" t="s">
        <v>597</v>
      </c>
    </row>
    <row r="14" spans="4:7" x14ac:dyDescent="0.25">
      <c r="E14" s="3" t="s">
        <v>598</v>
      </c>
      <c r="F14" s="3" t="s">
        <v>238</v>
      </c>
      <c r="G14" s="5" t="s">
        <v>599</v>
      </c>
    </row>
    <row r="15" spans="4:7" x14ac:dyDescent="0.25">
      <c r="E15" s="3" t="s">
        <v>264</v>
      </c>
      <c r="F15" s="3" t="s">
        <v>249</v>
      </c>
      <c r="G15" s="5" t="s">
        <v>600</v>
      </c>
    </row>
  </sheetData>
  <mergeCells count="4">
    <mergeCell ref="E8:G8"/>
    <mergeCell ref="E9:G9"/>
    <mergeCell ref="E10:F10"/>
    <mergeCell ref="E11:F11"/>
  </mergeCells>
  <pageMargins left="0.7" right="0.7" top="0.75" bottom="0.75" header="0.3" footer="0.3"/>
  <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8F5F-E3DC-4D65-A247-40F4CD2BCBE9}">
  <dimension ref="E10:H15"/>
  <sheetViews>
    <sheetView topLeftCell="A2" workbookViewId="0">
      <selection activeCell="D7" sqref="D7:I18"/>
    </sheetView>
  </sheetViews>
  <sheetFormatPr baseColWidth="10" defaultColWidth="11.42578125" defaultRowHeight="15" x14ac:dyDescent="0.25"/>
  <cols>
    <col min="6" max="6" width="24.5703125" customWidth="1"/>
    <col min="7" max="7" width="12.42578125" customWidth="1"/>
    <col min="8" max="8" width="29.140625" customWidth="1"/>
  </cols>
  <sheetData>
    <row r="10" spans="5:8" x14ac:dyDescent="0.25">
      <c r="F10" s="15" t="s">
        <v>205</v>
      </c>
      <c r="G10" s="15"/>
      <c r="H10" s="15"/>
    </row>
    <row r="11" spans="5:8" x14ac:dyDescent="0.25">
      <c r="F11" s="16" t="str">
        <f>"STORED PROCEDURE "&amp;UPPER($B$2)</f>
        <v xml:space="preserve">STORED PROCEDURE </v>
      </c>
      <c r="G11" s="18"/>
      <c r="H11" s="17"/>
    </row>
    <row r="12" spans="5:8" ht="15.75" thickBot="1" x14ac:dyDescent="0.3">
      <c r="F12" s="16" t="s">
        <v>233</v>
      </c>
      <c r="G12" s="17"/>
      <c r="H12" s="1" t="s">
        <v>234</v>
      </c>
    </row>
    <row r="13" spans="5:8" ht="30.75" thickBot="1" x14ac:dyDescent="0.3">
      <c r="E13" s="2"/>
      <c r="F13" s="19" t="str">
        <f>F10</f>
        <v>removeEpisode</v>
      </c>
      <c r="G13" s="21"/>
      <c r="H13" s="6" t="s">
        <v>601</v>
      </c>
    </row>
    <row r="14" spans="5:8" x14ac:dyDescent="0.25">
      <c r="E14" s="2"/>
      <c r="F14" s="1" t="s">
        <v>236</v>
      </c>
      <c r="G14" s="1" t="s">
        <v>2</v>
      </c>
      <c r="H14" s="1" t="s">
        <v>234</v>
      </c>
    </row>
    <row r="15" spans="5:8" x14ac:dyDescent="0.25">
      <c r="F15" s="3" t="s">
        <v>602</v>
      </c>
      <c r="G15" s="3" t="s">
        <v>238</v>
      </c>
      <c r="H15" s="5" t="s">
        <v>603</v>
      </c>
    </row>
  </sheetData>
  <mergeCells count="4">
    <mergeCell ref="F12:G12"/>
    <mergeCell ref="F13:G13"/>
    <mergeCell ref="F10:H10"/>
    <mergeCell ref="F11:H11"/>
  </mergeCells>
  <pageMargins left="0.7" right="0.7" top="0.75" bottom="0.75" header="0.3" footer="0.3"/>
  <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35430-CEEF-4A77-9F19-519856A97C0F}">
  <dimension ref="C6:F12"/>
  <sheetViews>
    <sheetView workbookViewId="0">
      <selection activeCell="B4" sqref="B4"/>
    </sheetView>
  </sheetViews>
  <sheetFormatPr baseColWidth="10" defaultColWidth="11.42578125" defaultRowHeight="15" x14ac:dyDescent="0.25"/>
  <cols>
    <col min="6" max="6" width="40.42578125" customWidth="1"/>
  </cols>
  <sheetData>
    <row r="6" spans="3:6" x14ac:dyDescent="0.25">
      <c r="D6" s="15" t="s">
        <v>207</v>
      </c>
      <c r="E6" s="15"/>
      <c r="F6" s="15"/>
    </row>
    <row r="7" spans="3:6" x14ac:dyDescent="0.25">
      <c r="D7" s="16" t="str">
        <f>"STORED PROCEDURE "&amp;UPPER($B$2)</f>
        <v xml:space="preserve">STORED PROCEDURE </v>
      </c>
      <c r="E7" s="18"/>
      <c r="F7" s="17"/>
    </row>
    <row r="8" spans="3:6" ht="15.75" thickBot="1" x14ac:dyDescent="0.3">
      <c r="D8" s="16" t="s">
        <v>233</v>
      </c>
      <c r="E8" s="17"/>
      <c r="F8" s="1" t="s">
        <v>234</v>
      </c>
    </row>
    <row r="9" spans="3:6" ht="15.75" thickBot="1" x14ac:dyDescent="0.3">
      <c r="C9" s="2"/>
      <c r="D9" s="19" t="str">
        <f>D6</f>
        <v>addPhoto</v>
      </c>
      <c r="E9" s="21"/>
      <c r="F9" s="6" t="s">
        <v>208</v>
      </c>
    </row>
    <row r="10" spans="3:6" x14ac:dyDescent="0.25">
      <c r="C10" s="2"/>
      <c r="D10" s="1" t="s">
        <v>236</v>
      </c>
      <c r="E10" s="1" t="s">
        <v>2</v>
      </c>
      <c r="F10" s="1" t="s">
        <v>234</v>
      </c>
    </row>
    <row r="11" spans="3:6" x14ac:dyDescent="0.25">
      <c r="D11" s="3" t="s">
        <v>237</v>
      </c>
      <c r="E11" s="3" t="s">
        <v>238</v>
      </c>
      <c r="F11" s="5" t="s">
        <v>239</v>
      </c>
    </row>
    <row r="12" spans="3:6" x14ac:dyDescent="0.25">
      <c r="D12" s="3" t="s">
        <v>604</v>
      </c>
      <c r="E12" s="3" t="s">
        <v>605</v>
      </c>
      <c r="F12" s="5" t="s">
        <v>606</v>
      </c>
    </row>
  </sheetData>
  <mergeCells count="4">
    <mergeCell ref="D6:F6"/>
    <mergeCell ref="D7:F7"/>
    <mergeCell ref="D8:E8"/>
    <mergeCell ref="D9:E9"/>
  </mergeCells>
  <pageMargins left="0.7" right="0.7" top="0.75" bottom="0.75" header="0.3" footer="0.3"/>
  <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37647-DDCB-411A-8018-D17CF8128B90}">
  <dimension ref="C6:F11"/>
  <sheetViews>
    <sheetView workbookViewId="0">
      <selection activeCell="F14" sqref="F14"/>
    </sheetView>
  </sheetViews>
  <sheetFormatPr baseColWidth="10" defaultColWidth="11.42578125" defaultRowHeight="15" x14ac:dyDescent="0.25"/>
  <cols>
    <col min="6" max="6" width="39.42578125" customWidth="1"/>
  </cols>
  <sheetData>
    <row r="6" spans="3:6" x14ac:dyDescent="0.25">
      <c r="D6" s="15" t="s">
        <v>607</v>
      </c>
      <c r="E6" s="15"/>
      <c r="F6" s="15"/>
    </row>
    <row r="7" spans="3:6" x14ac:dyDescent="0.25">
      <c r="D7" s="16" t="str">
        <f>"STORED PROCEDURE "&amp;UPPER($B$2)</f>
        <v xml:space="preserve">STORED PROCEDURE </v>
      </c>
      <c r="E7" s="18"/>
      <c r="F7" s="17"/>
    </row>
    <row r="8" spans="3:6" ht="15.75" thickBot="1" x14ac:dyDescent="0.3">
      <c r="D8" s="16" t="s">
        <v>233</v>
      </c>
      <c r="E8" s="17"/>
      <c r="F8" s="1" t="s">
        <v>234</v>
      </c>
    </row>
    <row r="9" spans="3:6" ht="15.75" thickBot="1" x14ac:dyDescent="0.3">
      <c r="C9" s="2"/>
      <c r="D9" s="19" t="str">
        <f>D6</f>
        <v>removePhoto</v>
      </c>
      <c r="E9" s="21"/>
      <c r="F9" s="6" t="s">
        <v>608</v>
      </c>
    </row>
    <row r="10" spans="3:6" x14ac:dyDescent="0.25">
      <c r="C10" s="2"/>
      <c r="D10" s="1" t="s">
        <v>236</v>
      </c>
      <c r="E10" s="1" t="s">
        <v>2</v>
      </c>
      <c r="F10" s="1" t="s">
        <v>234</v>
      </c>
    </row>
    <row r="11" spans="3:6" x14ac:dyDescent="0.25">
      <c r="D11" s="3" t="s">
        <v>609</v>
      </c>
      <c r="E11" s="3" t="s">
        <v>238</v>
      </c>
      <c r="F11" s="5" t="s">
        <v>610</v>
      </c>
    </row>
  </sheetData>
  <mergeCells count="4">
    <mergeCell ref="D6:F6"/>
    <mergeCell ref="D7:F7"/>
    <mergeCell ref="D8:E8"/>
    <mergeCell ref="D9:E9"/>
  </mergeCells>
  <pageMargins left="0.7" right="0.7" top="0.75" bottom="0.75" header="0.3" footer="0.3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6DA5-F9DB-4DC6-BA00-67D54AA17EEC}">
  <dimension ref="B3:E7"/>
  <sheetViews>
    <sheetView workbookViewId="0">
      <selection activeCell="E6" sqref="E6"/>
    </sheetView>
  </sheetViews>
  <sheetFormatPr baseColWidth="10" defaultColWidth="11.42578125" defaultRowHeight="15" x14ac:dyDescent="0.25"/>
  <sheetData>
    <row r="3" spans="2:5" x14ac:dyDescent="0.25">
      <c r="C3" s="15" t="s">
        <v>211</v>
      </c>
      <c r="D3" s="15"/>
      <c r="E3" s="15"/>
    </row>
    <row r="4" spans="2:5" x14ac:dyDescent="0.25">
      <c r="C4" s="16" t="str">
        <f>"STORED PROCEDURE "&amp;UPPER($B$2)</f>
        <v xml:space="preserve">STORED PROCEDURE </v>
      </c>
      <c r="D4" s="18"/>
      <c r="E4" s="17"/>
    </row>
    <row r="5" spans="2:5" ht="15.75" thickBot="1" x14ac:dyDescent="0.3">
      <c r="C5" s="16" t="s">
        <v>233</v>
      </c>
      <c r="D5" s="17"/>
      <c r="E5" s="1" t="s">
        <v>234</v>
      </c>
    </row>
    <row r="6" spans="2:5" ht="75.75" thickBot="1" x14ac:dyDescent="0.3">
      <c r="B6" s="2"/>
      <c r="C6" s="19" t="str">
        <f>C3</f>
        <v>getProducts</v>
      </c>
      <c r="D6" s="21"/>
      <c r="E6" s="6" t="s">
        <v>212</v>
      </c>
    </row>
    <row r="7" spans="2:5" x14ac:dyDescent="0.25">
      <c r="B7" s="2"/>
      <c r="C7" s="1" t="s">
        <v>236</v>
      </c>
      <c r="D7" s="1" t="s">
        <v>2</v>
      </c>
      <c r="E7" s="1" t="s">
        <v>234</v>
      </c>
    </row>
  </sheetData>
  <mergeCells count="4">
    <mergeCell ref="C3:E3"/>
    <mergeCell ref="C4:E4"/>
    <mergeCell ref="C5:D5"/>
    <mergeCell ref="C6:D6"/>
  </mergeCell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C5CF9-C09B-4888-BC40-1A072E849F1E}">
  <dimension ref="B3:E8"/>
  <sheetViews>
    <sheetView workbookViewId="0">
      <selection activeCell="D10" sqref="D10"/>
    </sheetView>
  </sheetViews>
  <sheetFormatPr baseColWidth="10" defaultColWidth="11.42578125" defaultRowHeight="15" x14ac:dyDescent="0.25"/>
  <cols>
    <col min="5" max="5" width="35.140625" customWidth="1"/>
  </cols>
  <sheetData>
    <row r="3" spans="2:5" x14ac:dyDescent="0.25">
      <c r="C3" s="15" t="s">
        <v>213</v>
      </c>
      <c r="D3" s="15"/>
      <c r="E3" s="15"/>
    </row>
    <row r="4" spans="2:5" x14ac:dyDescent="0.25">
      <c r="C4" s="16" t="str">
        <f>"STORED PROCEDURE "&amp;UPPER($B$2)</f>
        <v xml:space="preserve">STORED PROCEDURE </v>
      </c>
      <c r="D4" s="18"/>
      <c r="E4" s="17"/>
    </row>
    <row r="5" spans="2:5" ht="15.75" thickBot="1" x14ac:dyDescent="0.3">
      <c r="C5" s="16" t="s">
        <v>233</v>
      </c>
      <c r="D5" s="17"/>
      <c r="E5" s="1" t="s">
        <v>234</v>
      </c>
    </row>
    <row r="6" spans="2:5" ht="30.75" thickBot="1" x14ac:dyDescent="0.3">
      <c r="B6" s="2"/>
      <c r="C6" s="19" t="str">
        <f>C3</f>
        <v>getProductInfo</v>
      </c>
      <c r="D6" s="21"/>
      <c r="E6" s="6" t="s">
        <v>214</v>
      </c>
    </row>
    <row r="7" spans="2:5" x14ac:dyDescent="0.25">
      <c r="B7" s="2"/>
      <c r="C7" s="1" t="s">
        <v>236</v>
      </c>
      <c r="D7" s="1" t="s">
        <v>2</v>
      </c>
      <c r="E7" s="1" t="s">
        <v>234</v>
      </c>
    </row>
    <row r="8" spans="2:5" x14ac:dyDescent="0.25">
      <c r="C8" s="3" t="s">
        <v>237</v>
      </c>
      <c r="D8" s="3" t="s">
        <v>238</v>
      </c>
      <c r="E8" s="5" t="s">
        <v>239</v>
      </c>
    </row>
  </sheetData>
  <mergeCells count="4">
    <mergeCell ref="C3:E3"/>
    <mergeCell ref="C4:E4"/>
    <mergeCell ref="C5:D5"/>
    <mergeCell ref="C6:D6"/>
  </mergeCell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45552-DC36-45E1-9562-F62053DE788C}">
  <dimension ref="B3:E9"/>
  <sheetViews>
    <sheetView workbookViewId="0">
      <selection activeCell="D22" sqref="D22"/>
    </sheetView>
  </sheetViews>
  <sheetFormatPr baseColWidth="10" defaultColWidth="11.42578125" defaultRowHeight="15" x14ac:dyDescent="0.25"/>
  <cols>
    <col min="5" max="5" width="33.5703125" customWidth="1"/>
  </cols>
  <sheetData>
    <row r="3" spans="2:5" x14ac:dyDescent="0.25">
      <c r="C3" s="15" t="s">
        <v>611</v>
      </c>
      <c r="D3" s="15"/>
      <c r="E3" s="15"/>
    </row>
    <row r="4" spans="2:5" x14ac:dyDescent="0.25">
      <c r="C4" s="16" t="str">
        <f>"STORED PROCEDURE "&amp;UPPER($B$2)</f>
        <v xml:space="preserve">STORED PROCEDURE </v>
      </c>
      <c r="D4" s="18"/>
      <c r="E4" s="17"/>
    </row>
    <row r="5" spans="2:5" ht="15.75" thickBot="1" x14ac:dyDescent="0.3">
      <c r="C5" s="16" t="s">
        <v>233</v>
      </c>
      <c r="D5" s="17"/>
      <c r="E5" s="1" t="s">
        <v>234</v>
      </c>
    </row>
    <row r="6" spans="2:5" ht="15.75" thickBot="1" x14ac:dyDescent="0.3">
      <c r="B6" s="2"/>
      <c r="C6" s="19" t="str">
        <f>C3</f>
        <v>addGenre</v>
      </c>
      <c r="D6" s="21"/>
      <c r="E6" s="6" t="s">
        <v>216</v>
      </c>
    </row>
    <row r="7" spans="2:5" x14ac:dyDescent="0.25">
      <c r="B7" s="2"/>
      <c r="C7" s="1" t="s">
        <v>236</v>
      </c>
      <c r="D7" s="1" t="s">
        <v>2</v>
      </c>
      <c r="E7" s="1" t="s">
        <v>234</v>
      </c>
    </row>
    <row r="8" spans="2:5" x14ac:dyDescent="0.25">
      <c r="C8" s="3" t="s">
        <v>237</v>
      </c>
      <c r="D8" s="3" t="s">
        <v>238</v>
      </c>
      <c r="E8" s="5" t="s">
        <v>239</v>
      </c>
    </row>
    <row r="9" spans="2:5" x14ac:dyDescent="0.25">
      <c r="C9" s="3" t="s">
        <v>612</v>
      </c>
      <c r="D9" s="3" t="s">
        <v>238</v>
      </c>
      <c r="E9" s="5" t="s">
        <v>613</v>
      </c>
    </row>
  </sheetData>
  <mergeCells count="4">
    <mergeCell ref="C3:E3"/>
    <mergeCell ref="C4:E4"/>
    <mergeCell ref="C5:D5"/>
    <mergeCell ref="C6:D6"/>
  </mergeCells>
  <pageMargins left="0.7" right="0.7" top="0.75" bottom="0.75" header="0.3" footer="0.3"/>
  <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D958-69FE-4901-9D3D-927A21F723D3}">
  <dimension ref="C4:F10"/>
  <sheetViews>
    <sheetView workbookViewId="0">
      <selection activeCell="B3" sqref="B3:G13"/>
    </sheetView>
  </sheetViews>
  <sheetFormatPr baseColWidth="10" defaultColWidth="11.42578125" defaultRowHeight="15" x14ac:dyDescent="0.25"/>
  <cols>
    <col min="6" max="6" width="36.85546875" customWidth="1"/>
  </cols>
  <sheetData>
    <row r="4" spans="3:6" x14ac:dyDescent="0.25">
      <c r="D4" s="15" t="s">
        <v>217</v>
      </c>
      <c r="E4" s="15"/>
      <c r="F4" s="15"/>
    </row>
    <row r="5" spans="3:6" x14ac:dyDescent="0.25">
      <c r="D5" s="16" t="str">
        <f>"STORED PROCEDURE "&amp;UPPER($B$2)</f>
        <v xml:space="preserve">STORED PROCEDURE </v>
      </c>
      <c r="E5" s="18"/>
      <c r="F5" s="17"/>
    </row>
    <row r="6" spans="3:6" ht="15.75" thickBot="1" x14ac:dyDescent="0.3">
      <c r="D6" s="16" t="s">
        <v>233</v>
      </c>
      <c r="E6" s="17"/>
      <c r="F6" s="1" t="s">
        <v>234</v>
      </c>
    </row>
    <row r="7" spans="3:6" ht="15.75" thickBot="1" x14ac:dyDescent="0.3">
      <c r="C7" s="2"/>
      <c r="D7" s="19" t="str">
        <f>D4</f>
        <v>addPlatform</v>
      </c>
      <c r="E7" s="21"/>
      <c r="F7" s="6" t="s">
        <v>218</v>
      </c>
    </row>
    <row r="8" spans="3:6" x14ac:dyDescent="0.25">
      <c r="C8" s="2"/>
      <c r="D8" s="1" t="s">
        <v>236</v>
      </c>
      <c r="E8" s="1" t="s">
        <v>2</v>
      </c>
      <c r="F8" s="1" t="s">
        <v>234</v>
      </c>
    </row>
    <row r="9" spans="3:6" x14ac:dyDescent="0.25">
      <c r="D9" s="3" t="s">
        <v>237</v>
      </c>
      <c r="E9" s="3" t="s">
        <v>238</v>
      </c>
      <c r="F9" s="5" t="s">
        <v>239</v>
      </c>
    </row>
    <row r="10" spans="3:6" x14ac:dyDescent="0.25">
      <c r="D10" s="3" t="s">
        <v>614</v>
      </c>
      <c r="E10" s="3" t="s">
        <v>238</v>
      </c>
      <c r="F10" s="5" t="s">
        <v>300</v>
      </c>
    </row>
  </sheetData>
  <mergeCells count="4">
    <mergeCell ref="D4:F4"/>
    <mergeCell ref="D5:F5"/>
    <mergeCell ref="D6:E6"/>
    <mergeCell ref="D7:E7"/>
  </mergeCells>
  <pageMargins left="0.7" right="0.7" top="0.75" bottom="0.75" header="0.3" footer="0.3"/>
  <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1DA0-F119-4654-A3BE-C699DEF9F10A}">
  <dimension ref="C5:F9"/>
  <sheetViews>
    <sheetView workbookViewId="0">
      <selection activeCell="G11" sqref="G11"/>
    </sheetView>
  </sheetViews>
  <sheetFormatPr baseColWidth="10" defaultColWidth="11.42578125" defaultRowHeight="15" x14ac:dyDescent="0.25"/>
  <cols>
    <col min="6" max="6" width="38.42578125" customWidth="1"/>
  </cols>
  <sheetData>
    <row r="5" spans="3:6" x14ac:dyDescent="0.25">
      <c r="D5" s="15" t="s">
        <v>219</v>
      </c>
      <c r="E5" s="15"/>
      <c r="F5" s="15"/>
    </row>
    <row r="6" spans="3:6" x14ac:dyDescent="0.25">
      <c r="D6" s="16" t="str">
        <f>"STORED PROCEDURE "&amp;UPPER($B$2)</f>
        <v xml:space="preserve">STORED PROCEDURE </v>
      </c>
      <c r="E6" s="18"/>
      <c r="F6" s="17"/>
    </row>
    <row r="7" spans="3:6" ht="15.75" thickBot="1" x14ac:dyDescent="0.3">
      <c r="D7" s="16" t="s">
        <v>233</v>
      </c>
      <c r="E7" s="17"/>
      <c r="F7" s="1" t="s">
        <v>234</v>
      </c>
    </row>
    <row r="8" spans="3:6" ht="30.75" thickBot="1" x14ac:dyDescent="0.3">
      <c r="C8" s="2"/>
      <c r="D8" s="19" t="str">
        <f>D5</f>
        <v>getProductStatistics</v>
      </c>
      <c r="E8" s="21"/>
      <c r="F8" s="6" t="s">
        <v>220</v>
      </c>
    </row>
    <row r="9" spans="3:6" x14ac:dyDescent="0.25">
      <c r="C9" s="2"/>
      <c r="D9" s="1" t="s">
        <v>236</v>
      </c>
      <c r="E9" s="1" t="s">
        <v>2</v>
      </c>
      <c r="F9" s="1" t="s">
        <v>234</v>
      </c>
    </row>
  </sheetData>
  <mergeCells count="4">
    <mergeCell ref="D5:F5"/>
    <mergeCell ref="D6:F6"/>
    <mergeCell ref="D7:E7"/>
    <mergeCell ref="D8:E8"/>
  </mergeCells>
  <pageMargins left="0.7" right="0.7" top="0.75" bottom="0.75" header="0.3" footer="0.3"/>
  <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B89FE-419F-41A5-A056-DE97BA4377D0}">
  <dimension ref="C3:F7"/>
  <sheetViews>
    <sheetView workbookViewId="0">
      <selection activeCell="H10" sqref="H10"/>
    </sheetView>
  </sheetViews>
  <sheetFormatPr baseColWidth="10" defaultColWidth="11.42578125" defaultRowHeight="15" x14ac:dyDescent="0.25"/>
  <cols>
    <col min="6" max="6" width="36.5703125" customWidth="1"/>
  </cols>
  <sheetData>
    <row r="3" spans="3:6" x14ac:dyDescent="0.25">
      <c r="D3" s="15" t="s">
        <v>221</v>
      </c>
      <c r="E3" s="15"/>
      <c r="F3" s="15"/>
    </row>
    <row r="4" spans="3:6" x14ac:dyDescent="0.25">
      <c r="D4" s="16" t="str">
        <f>"STORED PROCEDURE "&amp;UPPER($B$2)</f>
        <v xml:space="preserve">STORED PROCEDURE </v>
      </c>
      <c r="E4" s="18"/>
      <c r="F4" s="17"/>
    </row>
    <row r="5" spans="3:6" ht="15.75" thickBot="1" x14ac:dyDescent="0.3">
      <c r="D5" s="16" t="s">
        <v>233</v>
      </c>
      <c r="E5" s="17"/>
      <c r="F5" s="1" t="s">
        <v>234</v>
      </c>
    </row>
    <row r="6" spans="3:6" ht="45.75" thickBot="1" x14ac:dyDescent="0.3">
      <c r="C6" s="2"/>
      <c r="D6" s="19" t="str">
        <f>D3</f>
        <v>getUsersStatisticsByAge</v>
      </c>
      <c r="E6" s="21"/>
      <c r="F6" s="6" t="s">
        <v>222</v>
      </c>
    </row>
    <row r="7" spans="3:6" x14ac:dyDescent="0.25">
      <c r="C7" s="2"/>
      <c r="D7" s="1" t="s">
        <v>236</v>
      </c>
      <c r="E7" s="1" t="s">
        <v>2</v>
      </c>
      <c r="F7" s="1" t="s">
        <v>234</v>
      </c>
    </row>
  </sheetData>
  <mergeCells count="4">
    <mergeCell ref="D3:F3"/>
    <mergeCell ref="D4:F4"/>
    <mergeCell ref="D5:E5"/>
    <mergeCell ref="D6:E6"/>
  </mergeCells>
  <pageMargins left="0.7" right="0.7" top="0.75" bottom="0.75" header="0.3" footer="0.3"/>
  <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52F66-D7D2-4DC2-A790-F1ED5A492A5E}">
  <dimension ref="C4:F8"/>
  <sheetViews>
    <sheetView workbookViewId="0"/>
  </sheetViews>
  <sheetFormatPr baseColWidth="10" defaultColWidth="11.42578125" defaultRowHeight="15" x14ac:dyDescent="0.25"/>
  <cols>
    <col min="6" max="6" width="39.5703125" customWidth="1"/>
  </cols>
  <sheetData>
    <row r="4" spans="3:6" x14ac:dyDescent="0.25">
      <c r="D4" s="15" t="s">
        <v>223</v>
      </c>
      <c r="E4" s="15"/>
      <c r="F4" s="15"/>
    </row>
    <row r="5" spans="3:6" x14ac:dyDescent="0.25">
      <c r="D5" s="16" t="str">
        <f>"STORED PROCEDURE "&amp;UPPER($B$2)</f>
        <v xml:space="preserve">STORED PROCEDURE </v>
      </c>
      <c r="E5" s="18"/>
      <c r="F5" s="17"/>
    </row>
    <row r="6" spans="3:6" ht="15.75" thickBot="1" x14ac:dyDescent="0.3">
      <c r="D6" s="16" t="s">
        <v>233</v>
      </c>
      <c r="E6" s="17"/>
      <c r="F6" s="1" t="s">
        <v>234</v>
      </c>
    </row>
    <row r="7" spans="3:6" ht="30.75" thickBot="1" x14ac:dyDescent="0.3">
      <c r="C7" s="2"/>
      <c r="D7" s="19" t="str">
        <f>D4</f>
        <v>getUsersStatisticsBySex</v>
      </c>
      <c r="E7" s="21"/>
      <c r="F7" s="6" t="s">
        <v>224</v>
      </c>
    </row>
    <row r="8" spans="3:6" x14ac:dyDescent="0.25">
      <c r="C8" s="2"/>
      <c r="D8" s="1" t="s">
        <v>236</v>
      </c>
      <c r="E8" s="1" t="s">
        <v>2</v>
      </c>
      <c r="F8" s="1" t="s">
        <v>234</v>
      </c>
    </row>
  </sheetData>
  <mergeCells count="4">
    <mergeCell ref="D4:F4"/>
    <mergeCell ref="D5:F5"/>
    <mergeCell ref="D6:E6"/>
    <mergeCell ref="D7:E7"/>
  </mergeCells>
  <pageMargins left="0.7" right="0.7" top="0.75" bottom="0.75" header="0.3" footer="0.3"/>
  <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DF57-09CB-4C57-8199-C9ED820479F7}">
  <dimension ref="C3:F9"/>
  <sheetViews>
    <sheetView workbookViewId="0">
      <selection activeCell="B2" sqref="B2"/>
    </sheetView>
  </sheetViews>
  <sheetFormatPr baseColWidth="10" defaultColWidth="11.42578125" defaultRowHeight="15" x14ac:dyDescent="0.25"/>
  <cols>
    <col min="6" max="6" width="36.42578125" customWidth="1"/>
  </cols>
  <sheetData>
    <row r="3" spans="3:6" x14ac:dyDescent="0.25">
      <c r="D3" s="15" t="s">
        <v>225</v>
      </c>
      <c r="E3" s="15"/>
      <c r="F3" s="15"/>
    </row>
    <row r="4" spans="3:6" x14ac:dyDescent="0.25">
      <c r="D4" s="16" t="str">
        <f>"STORED PROCEDURE "&amp;UPPER($B$2)</f>
        <v xml:space="preserve">STORED PROCEDURE </v>
      </c>
      <c r="E4" s="18"/>
      <c r="F4" s="17"/>
    </row>
    <row r="5" spans="3:6" ht="15.75" thickBot="1" x14ac:dyDescent="0.3">
      <c r="D5" s="16" t="s">
        <v>233</v>
      </c>
      <c r="E5" s="17"/>
      <c r="F5" s="1" t="s">
        <v>234</v>
      </c>
    </row>
    <row r="6" spans="3:6" ht="30.75" thickBot="1" x14ac:dyDescent="0.3">
      <c r="C6" s="2"/>
      <c r="D6" s="19" t="str">
        <f>D3</f>
        <v>visitProduct</v>
      </c>
      <c r="E6" s="21"/>
      <c r="F6" s="6" t="s">
        <v>226</v>
      </c>
    </row>
    <row r="7" spans="3:6" x14ac:dyDescent="0.25">
      <c r="C7" s="2"/>
      <c r="D7" s="1" t="s">
        <v>236</v>
      </c>
      <c r="E7" s="1" t="s">
        <v>2</v>
      </c>
      <c r="F7" s="1" t="s">
        <v>234</v>
      </c>
    </row>
    <row r="8" spans="3:6" x14ac:dyDescent="0.25">
      <c r="D8" s="3" t="s">
        <v>237</v>
      </c>
      <c r="E8" s="3" t="s">
        <v>238</v>
      </c>
      <c r="F8" s="5" t="s">
        <v>239</v>
      </c>
    </row>
    <row r="9" spans="3:6" x14ac:dyDescent="0.25">
      <c r="D9" s="3" t="s">
        <v>615</v>
      </c>
      <c r="E9" s="3" t="s">
        <v>238</v>
      </c>
      <c r="F9" s="5" t="s">
        <v>616</v>
      </c>
    </row>
  </sheetData>
  <mergeCells count="4">
    <mergeCell ref="D3:F3"/>
    <mergeCell ref="D4:F4"/>
    <mergeCell ref="D5:E5"/>
    <mergeCell ref="D6:E6"/>
  </mergeCells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227EC-0DAD-43CB-B545-3FD449D77E99}">
  <dimension ref="C3:F8"/>
  <sheetViews>
    <sheetView workbookViewId="0">
      <selection activeCell="B2" sqref="B2:G12"/>
    </sheetView>
  </sheetViews>
  <sheetFormatPr baseColWidth="10" defaultColWidth="11.42578125" defaultRowHeight="15" x14ac:dyDescent="0.25"/>
  <cols>
    <col min="6" max="6" width="39.5703125" customWidth="1"/>
  </cols>
  <sheetData>
    <row r="3" spans="3:6" x14ac:dyDescent="0.25">
      <c r="D3" s="15" t="s">
        <v>227</v>
      </c>
      <c r="E3" s="15"/>
      <c r="F3" s="15"/>
    </row>
    <row r="4" spans="3:6" x14ac:dyDescent="0.25">
      <c r="D4" s="16" t="str">
        <f>"STORED PROCEDURE "&amp;UPPER($B$2)</f>
        <v xml:space="preserve">STORED PROCEDURE </v>
      </c>
      <c r="E4" s="18"/>
      <c r="F4" s="17"/>
    </row>
    <row r="5" spans="3:6" ht="15.75" thickBot="1" x14ac:dyDescent="0.3">
      <c r="D5" s="16" t="s">
        <v>233</v>
      </c>
      <c r="E5" s="17"/>
      <c r="F5" s="1" t="s">
        <v>234</v>
      </c>
    </row>
    <row r="6" spans="3:6" ht="30.75" thickBot="1" x14ac:dyDescent="0.3">
      <c r="C6" s="2"/>
      <c r="D6" s="19" t="str">
        <f>D3</f>
        <v>getRecentlyVisited</v>
      </c>
      <c r="E6" s="21"/>
      <c r="F6" s="6" t="s">
        <v>617</v>
      </c>
    </row>
    <row r="7" spans="3:6" x14ac:dyDescent="0.25">
      <c r="C7" s="2"/>
      <c r="D7" s="1" t="s">
        <v>236</v>
      </c>
      <c r="E7" s="1" t="s">
        <v>2</v>
      </c>
      <c r="F7" s="1" t="s">
        <v>234</v>
      </c>
    </row>
    <row r="8" spans="3:6" x14ac:dyDescent="0.25">
      <c r="D8" s="3" t="s">
        <v>504</v>
      </c>
      <c r="E8" s="3" t="s">
        <v>238</v>
      </c>
      <c r="F8" s="5" t="s">
        <v>618</v>
      </c>
    </row>
  </sheetData>
  <mergeCells count="4">
    <mergeCell ref="D3:F3"/>
    <mergeCell ref="D4:F4"/>
    <mergeCell ref="D5:E5"/>
    <mergeCell ref="D6:E6"/>
  </mergeCells>
  <pageMargins left="0.7" right="0.7" top="0.75" bottom="0.75" header="0.3" footer="0.3"/>
  <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956A-4916-4064-B10B-761C4CC66551}">
  <dimension ref="C4:F9"/>
  <sheetViews>
    <sheetView workbookViewId="0">
      <selection activeCell="F9" sqref="F9"/>
    </sheetView>
  </sheetViews>
  <sheetFormatPr baseColWidth="10" defaultColWidth="11.42578125" defaultRowHeight="15" x14ac:dyDescent="0.25"/>
  <cols>
    <col min="6" max="6" width="29.85546875" customWidth="1"/>
  </cols>
  <sheetData>
    <row r="4" spans="3:6" x14ac:dyDescent="0.25">
      <c r="D4" s="15" t="s">
        <v>619</v>
      </c>
      <c r="E4" s="15"/>
      <c r="F4" s="15"/>
    </row>
    <row r="5" spans="3:6" x14ac:dyDescent="0.25">
      <c r="D5" s="16" t="str">
        <f>"STORED PROCEDURE "&amp;UPPER($B$2)</f>
        <v xml:space="preserve">STORED PROCEDURE </v>
      </c>
      <c r="E5" s="18"/>
      <c r="F5" s="17"/>
    </row>
    <row r="6" spans="3:6" ht="15.75" thickBot="1" x14ac:dyDescent="0.3">
      <c r="D6" s="16" t="s">
        <v>233</v>
      </c>
      <c r="E6" s="17"/>
      <c r="F6" s="1" t="s">
        <v>234</v>
      </c>
    </row>
    <row r="7" spans="3:6" ht="15.75" thickBot="1" x14ac:dyDescent="0.3">
      <c r="C7" s="2"/>
      <c r="D7" s="19" t="str">
        <f>D4</f>
        <v>insertKinship</v>
      </c>
      <c r="E7" s="21"/>
      <c r="F7" s="6" t="s">
        <v>230</v>
      </c>
    </row>
    <row r="8" spans="3:6" x14ac:dyDescent="0.25">
      <c r="C8" s="2"/>
      <c r="D8" s="1" t="s">
        <v>236</v>
      </c>
      <c r="E8" s="1" t="s">
        <v>2</v>
      </c>
      <c r="F8" s="1" t="s">
        <v>234</v>
      </c>
    </row>
    <row r="9" spans="3:6" x14ac:dyDescent="0.25">
      <c r="D9" s="3" t="s">
        <v>504</v>
      </c>
      <c r="E9" s="3" t="s">
        <v>238</v>
      </c>
      <c r="F9" s="5" t="s">
        <v>618</v>
      </c>
    </row>
  </sheetData>
  <mergeCells count="4">
    <mergeCell ref="D4:F4"/>
    <mergeCell ref="D5:F5"/>
    <mergeCell ref="D6:E6"/>
    <mergeCell ref="D7:E7"/>
  </mergeCells>
  <pageMargins left="0.7" right="0.7" top="0.75" bottom="0.75" header="0.3" footer="0.3"/>
  <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5D483-EF77-436A-A5E5-A323943D271D}">
  <dimension ref="C4:F10"/>
  <sheetViews>
    <sheetView workbookViewId="0">
      <selection activeCell="I19" sqref="I19"/>
    </sheetView>
  </sheetViews>
  <sheetFormatPr baseColWidth="10" defaultColWidth="11.42578125" defaultRowHeight="15" x14ac:dyDescent="0.25"/>
  <cols>
    <col min="6" max="6" width="30" customWidth="1"/>
  </cols>
  <sheetData>
    <row r="4" spans="3:6" x14ac:dyDescent="0.25">
      <c r="D4" s="15" t="s">
        <v>620</v>
      </c>
      <c r="E4" s="15"/>
      <c r="F4" s="15"/>
    </row>
    <row r="5" spans="3:6" x14ac:dyDescent="0.25">
      <c r="D5" s="16" t="str">
        <f>"STORED PROCEDURE "&amp;UPPER($B$2)</f>
        <v xml:space="preserve">STORED PROCEDURE </v>
      </c>
      <c r="E5" s="18"/>
      <c r="F5" s="17"/>
    </row>
    <row r="6" spans="3:6" ht="15.75" thickBot="1" x14ac:dyDescent="0.3">
      <c r="D6" s="16" t="s">
        <v>233</v>
      </c>
      <c r="E6" s="17"/>
      <c r="F6" s="1" t="s">
        <v>234</v>
      </c>
    </row>
    <row r="7" spans="3:6" ht="15.75" thickBot="1" x14ac:dyDescent="0.3">
      <c r="C7" s="2"/>
      <c r="D7" s="19" t="str">
        <f>D4</f>
        <v>setKinship</v>
      </c>
      <c r="E7" s="21"/>
      <c r="F7" s="6" t="s">
        <v>232</v>
      </c>
    </row>
    <row r="8" spans="3:6" x14ac:dyDescent="0.25">
      <c r="C8" s="2"/>
      <c r="D8" s="1" t="s">
        <v>236</v>
      </c>
      <c r="E8" s="1" t="s">
        <v>2</v>
      </c>
      <c r="F8" s="1" t="s">
        <v>234</v>
      </c>
    </row>
    <row r="9" spans="3:6" x14ac:dyDescent="0.25">
      <c r="D9" s="3" t="s">
        <v>574</v>
      </c>
      <c r="E9" s="3" t="s">
        <v>238</v>
      </c>
      <c r="F9" s="5" t="s">
        <v>621</v>
      </c>
    </row>
    <row r="10" spans="3:6" x14ac:dyDescent="0.25">
      <c r="D10" s="3" t="s">
        <v>622</v>
      </c>
      <c r="E10" s="3" t="s">
        <v>249</v>
      </c>
      <c r="F10" s="5" t="s">
        <v>623</v>
      </c>
    </row>
  </sheetData>
  <mergeCells count="4">
    <mergeCell ref="D4:F4"/>
    <mergeCell ref="D5:F5"/>
    <mergeCell ref="D6:E6"/>
    <mergeCell ref="D7:E7"/>
  </mergeCells>
  <pageMargins left="0.7" right="0.7" top="0.75" bottom="0.75" header="0.3" footer="0.3"/>
  <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FB399-CE67-413D-977F-5A76F70DF3DB}">
  <sheetPr codeName="Hoja103"/>
  <dimension ref="A1"/>
  <sheetViews>
    <sheetView workbookViewId="0"/>
  </sheetViews>
  <sheetFormatPr baseColWidth="10" defaultColWidth="11.42578125" defaultRowHeight="15" x14ac:dyDescent="0.25"/>
  <cols>
    <col min="1" max="1" width="11.42578125" style="12"/>
    <col min="2" max="2" width="11.42578125" style="12" customWidth="1"/>
    <col min="3" max="16384" width="11.42578125" style="1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115</vt:i4>
      </vt:variant>
    </vt:vector>
  </HeadingPairs>
  <TitlesOfParts>
    <vt:vector size="115" baseType="lpstr">
      <vt:lpstr>Index</vt:lpstr>
      <vt:lpstr>Person</vt:lpstr>
      <vt:lpstr>TypeOfIdentification</vt:lpstr>
      <vt:lpstr>Sex</vt:lpstr>
      <vt:lpstr>Nationality</vt:lpstr>
      <vt:lpstr>Country</vt:lpstr>
      <vt:lpstr>City</vt:lpstr>
      <vt:lpstr>Relative</vt:lpstr>
      <vt:lpstr>NationalityPerson</vt:lpstr>
      <vt:lpstr>SystemUser</vt:lpstr>
      <vt:lpstr>Identification</vt:lpstr>
      <vt:lpstr>IdentXSystem</vt:lpstr>
      <vt:lpstr>End_user</vt:lpstr>
      <vt:lpstr>Administrator</vt:lpstr>
      <vt:lpstr>Participant</vt:lpstr>
      <vt:lpstr>TypeOfProduct</vt:lpstr>
      <vt:lpstr>Product</vt:lpstr>
      <vt:lpstr>Binnacle</vt:lpstr>
      <vt:lpstr>Season</vt:lpstr>
      <vt:lpstr>Episode</vt:lpstr>
      <vt:lpstr>Photo</vt:lpstr>
      <vt:lpstr>TypeOfParticipant</vt:lpstr>
      <vt:lpstr>ParticipantXProduct</vt:lpstr>
      <vt:lpstr>ParticipantXRelative</vt:lpstr>
      <vt:lpstr>Payment</vt:lpstr>
      <vt:lpstr>Card</vt:lpstr>
      <vt:lpstr>Wishlist</vt:lpstr>
      <vt:lpstr>Purchase</vt:lpstr>
      <vt:lpstr>Catalog</vt:lpstr>
      <vt:lpstr>CatalogxProduct</vt:lpstr>
      <vt:lpstr>Platform</vt:lpstr>
      <vt:lpstr>ProductXPlatform</vt:lpstr>
      <vt:lpstr>Review</vt:lpstr>
      <vt:lpstr>Commentary</vt:lpstr>
      <vt:lpstr>UserXProduct</vt:lpstr>
      <vt:lpstr>insertUser</vt:lpstr>
      <vt:lpstr>updateUser</vt:lpstr>
      <vt:lpstr>deleteUser</vt:lpstr>
      <vt:lpstr>buyProduct</vt:lpstr>
      <vt:lpstr>commentProduct</vt:lpstr>
      <vt:lpstr>updateComment</vt:lpstr>
      <vt:lpstr>reviewProduct</vt:lpstr>
      <vt:lpstr>updateReview</vt:lpstr>
      <vt:lpstr>insertFavorite</vt:lpstr>
      <vt:lpstr>getWishlist</vt:lpstr>
      <vt:lpstr>deleteComment</vt:lpstr>
      <vt:lpstr>deleteReview</vt:lpstr>
      <vt:lpstr>deleteFavorite</vt:lpstr>
      <vt:lpstr>insertCard</vt:lpstr>
      <vt:lpstr>removeCard</vt:lpstr>
      <vt:lpstr>getPaymentMethods</vt:lpstr>
      <vt:lpstr>insertParticipant</vt:lpstr>
      <vt:lpstr>insertRelative</vt:lpstr>
      <vt:lpstr>deleteParticipant</vt:lpstr>
      <vt:lpstr>updateParticipant</vt:lpstr>
      <vt:lpstr>getParticipantInfo</vt:lpstr>
      <vt:lpstr>getParticipantNat</vt:lpstr>
      <vt:lpstr>getInfoParticipants</vt:lpstr>
      <vt:lpstr>getParticipantRelatives</vt:lpstr>
      <vt:lpstr>insertSystemUser</vt:lpstr>
      <vt:lpstr>insertPerson</vt:lpstr>
      <vt:lpstr>insertSex</vt:lpstr>
      <vt:lpstr>insertNationality</vt:lpstr>
      <vt:lpstr>insertNationalityPerson</vt:lpstr>
      <vt:lpstr>insertTypeIdent</vt:lpstr>
      <vt:lpstr>insertCountry</vt:lpstr>
      <vt:lpstr>insertCity</vt:lpstr>
      <vt:lpstr>insertTypeParticipant</vt:lpstr>
      <vt:lpstr>insertCatalog</vt:lpstr>
      <vt:lpstr>insertTypeProduct</vt:lpstr>
      <vt:lpstr>insertPlatform</vt:lpstr>
      <vt:lpstr>getSystemUserInfo</vt:lpstr>
      <vt:lpstr>validateRegister</vt:lpstr>
      <vt:lpstr>getNationality</vt:lpstr>
      <vt:lpstr>insertBinnacle</vt:lpstr>
      <vt:lpstr>getInfoInsertParticipant</vt:lpstr>
      <vt:lpstr>getCountries</vt:lpstr>
      <vt:lpstr>getCities</vt:lpstr>
      <vt:lpstr>getTypesIdents</vt:lpstr>
      <vt:lpstr>getCatalogs</vt:lpstr>
      <vt:lpstr>getTypesProducts</vt:lpstr>
      <vt:lpstr>getTypesParticipants</vt:lpstr>
      <vt:lpstr>getPlatforms</vt:lpstr>
      <vt:lpstr>getSex</vt:lpstr>
      <vt:lpstr>setNationality</vt:lpstr>
      <vt:lpstr>setCountry</vt:lpstr>
      <vt:lpstr>setCIty</vt:lpstr>
      <vt:lpstr>setTypeIdent</vt:lpstr>
      <vt:lpstr>setTypeProduct</vt:lpstr>
      <vt:lpstr>setTypeParticipant</vt:lpstr>
      <vt:lpstr>setPlatform</vt:lpstr>
      <vt:lpstr>setSex</vt:lpstr>
      <vt:lpstr>insertAdministrator</vt:lpstr>
      <vt:lpstr>setCatalog</vt:lpstr>
      <vt:lpstr>insertProduct</vt:lpstr>
      <vt:lpstr>updateProduct</vt:lpstr>
      <vt:lpstr>addParticipant</vt:lpstr>
      <vt:lpstr>removeSeason</vt:lpstr>
      <vt:lpstr>addSeason</vt:lpstr>
      <vt:lpstr>addEpisode</vt:lpstr>
      <vt:lpstr>removeEpisode</vt:lpstr>
      <vt:lpstr>addPhoto</vt:lpstr>
      <vt:lpstr>removePhoto</vt:lpstr>
      <vt:lpstr>getProducts</vt:lpstr>
      <vt:lpstr>getProductInfo</vt:lpstr>
      <vt:lpstr>addGenre</vt:lpstr>
      <vt:lpstr>addPlatform</vt:lpstr>
      <vt:lpstr>getProductStatistics</vt:lpstr>
      <vt:lpstr>getUsersStatisticsByAge</vt:lpstr>
      <vt:lpstr>getUsersStatisticsBySex</vt:lpstr>
      <vt:lpstr>visitProduct</vt:lpstr>
      <vt:lpstr>getRecentlyVisited</vt:lpstr>
      <vt:lpstr>insertKinship</vt:lpstr>
      <vt:lpstr>setKinship</vt:lpstr>
      <vt:lpstr>&lt;End of Dictionary&gt;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Jimena Conejo</dc:creator>
  <cp:keywords/>
  <dc:description/>
  <cp:lastModifiedBy>JOSUE DANIEL SOTO GONZALEZ</cp:lastModifiedBy>
  <cp:revision/>
  <dcterms:created xsi:type="dcterms:W3CDTF">2019-06-03T03:31:22Z</dcterms:created>
  <dcterms:modified xsi:type="dcterms:W3CDTF">2024-05-30T18:05:57Z</dcterms:modified>
  <cp:category/>
  <cp:contentStatus/>
</cp:coreProperties>
</file>